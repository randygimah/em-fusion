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ctions" sheetId="1" state="visible" r:id="rId3"/>
    <sheet name="Matrix" sheetId="2" state="visible" r:id="rId4"/>
    <sheet name="Decisions" sheetId="3" state="visible" r:id="rId5"/>
    <sheet name="Chapter 3 refs" sheetId="4" state="visible" r:id="rId6"/>
    <sheet name="Gap searches" sheetId="5" state="visible" r:id="rId7"/>
  </sheets>
  <definedNames>
    <definedName function="false" hidden="true" localSheetId="2" name="_xlnm._FilterDatabase" vbProcedure="false">Decisions!$A$1:$F$19</definedName>
    <definedName function="false" hidden="true" localSheetId="1" name="_xlnm._FilterDatabase" vbProcedure="false">Matrix!$A$1:$P$46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<sst xmlns="http://schemas.openxmlformats.org/spreadsheetml/2006/main" count="860" uniqueCount="517">
  <si>
    <t xml:space="preserve">EM Fusion literature review plan</t>
  </si>
  <si>
    <t xml:space="preserve">Chapter 2, 2,000 words. Counts update from the Matrix sheet as you change each source's Status.</t>
  </si>
  <si>
    <t xml:space="preserve">How to use this workbook</t>
  </si>
  <si>
    <t xml:space="preserve">• Yellow cells are yours to fill in: Status and Your notes on the Matrix sheet, Draft words here, and the Gap searches log.</t>
  </si>
  <si>
    <t xml:space="preserve">• Set Status as you go (To read, Read, Cited, Dropped). The counts below update automatically.</t>
  </si>
  <si>
    <t xml:space="preserve">• 'Checked 11 Oct 2026' means the source was found online this session; everything else is a well-known reference but still needs checking against the original before you cite it.</t>
  </si>
  <si>
    <t xml:space="preserve">• The Decisions sheet links your own thesis_notes.md sections to the sources that support or challenge them.</t>
  </si>
  <si>
    <t xml:space="preserve">§</t>
  </si>
  <si>
    <t xml:space="preserve">Section</t>
  </si>
  <si>
    <t xml:space="preserve">Absorbs your themes</t>
  </si>
  <si>
    <t xml:space="preserve">Target words</t>
  </si>
  <si>
    <t xml:space="preserve">Serves</t>
  </si>
  <si>
    <t xml:space="preserve">Argument this section must make</t>
  </si>
  <si>
    <t xml:space="preserve">Write order</t>
  </si>
  <si>
    <t xml:space="preserve">Sources</t>
  </si>
  <si>
    <t xml:space="preserve">Core sources</t>
  </si>
  <si>
    <t xml:space="preserve">Read or cited</t>
  </si>
  <si>
    <t xml:space="preserve">Draft words</t>
  </si>
  <si>
    <t xml:space="preserve">Words left</t>
  </si>
  <si>
    <t xml:space="preserve">Progress</t>
  </si>
  <si>
    <t xml:space="preserve">2.1</t>
  </si>
  <si>
    <t xml:space="preserve">Situational awareness in the electromagnetic environment</t>
  </si>
  <si>
    <t xml:space="preserve">EM situational awareness; defence digital transformation and decision advantage</t>
  </si>
  <si>
    <t xml:space="preserve">Main RQ</t>
  </si>
  <si>
    <t xml:space="preserve">Awareness means perceiving and comprehending a contested environment. GNSS disruption is real and visible in open aircraft data, which makes it a credible and safe domain for this prototype.</t>
  </si>
  <si>
    <t xml:space="preserve">2.2</t>
  </si>
  <si>
    <t xml:space="preserve">Data fusion, abstraction and provenance</t>
  </si>
  <si>
    <t xml:space="preserve">Data fusion and DALs; geospatial and time-series systems (one paragraph at most)</t>
  </si>
  <si>
    <t xml:space="preserve">RQ1</t>
  </si>
  <si>
    <t xml:space="preserve">Fusing disparate sources is a long-standing problem. A fixed canonical model with per-source adapters keeps adding a source local, and provenance has to be checked rather than assumed.</t>
  </si>
  <si>
    <t xml:space="preserve">2.3</t>
  </si>
  <si>
    <t xml:space="preserve">Detecting anomalies in telemetry, and evaluating detectors</t>
  </si>
  <si>
    <t xml:space="preserve">Anomaly detection</t>
  </si>
  <si>
    <t xml:space="preserve">RQ2</t>
  </si>
  <si>
    <t xml:space="preserve">Detector sophistication matters less than trustworthy ground truth and honestly defined metrics, which justifies synthetic scenarios and deterministic rules.</t>
  </si>
  <si>
    <t xml:space="preserve">2.4</t>
  </si>
  <si>
    <t xml:space="preserve">Humans, explanations and grounded generation</t>
  </si>
  <si>
    <t xml:space="preserve">Human-in-the-loop AI; explainable AI</t>
  </si>
  <si>
    <t xml:space="preserve">RQ3</t>
  </si>
  <si>
    <t xml:space="preserve">Explanations can increase over-reliance. Safe decision support needs calibrated confidence, contrastive alternatives and grounding in identified evidence, and grounding can only be partly checked by machine.</t>
  </si>
  <si>
    <t xml:space="preserve">2.5</t>
  </si>
  <si>
    <t xml:space="preserve">Assuring AI in defence</t>
  </si>
  <si>
    <t xml:space="preserve">AI assurance; responsible defence AI</t>
  </si>
  <si>
    <t xml:space="preserve">RQ3, ethics</t>
  </si>
  <si>
    <t xml:space="preserve">Defence AI principles are clearly stated but thin on mechanisms; EM Fusion turns several of them into testable safeguards.</t>
  </si>
  <si>
    <t xml:space="preserve">2.6</t>
  </si>
  <si>
    <t xml:space="preserve">Synthesis and gap</t>
  </si>
  <si>
    <t xml:space="preserve">(none: ties the sections together)</t>
  </si>
  <si>
    <t xml:space="preserve">All</t>
  </si>
  <si>
    <t xml:space="preserve">Return to Endsley and JDL, then state the gap (draft below) and how RQ1–RQ3 address it.</t>
  </si>
  <si>
    <t xml:space="preserve">Total</t>
  </si>
  <si>
    <t xml:space="preserve">Draft gap statement (rewrite in your own words; confirm the 'little published work' claim with the Gap searches log)</t>
  </si>
  <si>
    <t xml:space="preserve">Prior work detects GNSS interference from aircraft integrity fields (Liu, Lo and Walter, 2022; Felux et al., 2023), and separately studies how to ground language-model output in identified sources (Rashkin et al., 2023; Gao et al., 2023). Little published work combines a canonical data abstraction layer, deterministic detection evaluated against known ground truth, and evidence-constrained hypothesis generation assessed for grounding, under defence AI assurance guidance (MoD, 2024).</t>
  </si>
  <si>
    <t xml:space="preserve">ID</t>
  </si>
  <si>
    <t xml:space="preserve">Priority</t>
  </si>
  <si>
    <t xml:space="preserve">Reference (Harvard)</t>
  </si>
  <si>
    <t xml:space="preserve">Year</t>
  </si>
  <si>
    <t xml:space="preserve">Type</t>
  </si>
  <si>
    <t xml:space="preserve">Checked?</t>
  </si>
  <si>
    <t xml:space="preserve">Key claim</t>
  </si>
  <si>
    <t xml:space="preserve">Method / evidence</t>
  </si>
  <si>
    <t xml:space="preserve">Limitation or tension</t>
  </si>
  <si>
    <t xml:space="preserve">So what for EM Fusion</t>
  </si>
  <si>
    <t xml:space="preserve">Your notes that it supports (thesis_notes.md)</t>
  </si>
  <si>
    <t xml:space="preserve">RQ</t>
  </si>
  <si>
    <t xml:space="preserve">Status</t>
  </si>
  <si>
    <t xml:space="preserve">Your notes</t>
  </si>
  <si>
    <t xml:space="preserve">Link</t>
  </si>
  <si>
    <t xml:space="preserve">S01</t>
  </si>
  <si>
    <t xml:space="preserve">Core</t>
  </si>
  <si>
    <t xml:space="preserve">Endsley, M.R. (1995) 'Toward a theory of situation awareness in dynamic systems', Human Factors, 37(1), pp. 32–64.</t>
  </si>
  <si>
    <t xml:space="preserve">1995</t>
  </si>
  <si>
    <t xml:space="preserve">Journal</t>
  </si>
  <si>
    <t xml:space="preserve">Verify details</t>
  </si>
  <si>
    <t xml:space="preserve">Situation awareness has three levels: perception of elements in the environment, comprehension of their meaning, and projection of their future status.</t>
  </si>
  <si>
    <t xml:space="preserve">Theoretical model built from aviation and military human-factors research.</t>
  </si>
  <si>
    <t xml:space="preserve">Models one person's cognition; distributed/team SA critics (see S02) argue it underplays how awareness is shared across people and systems. Measuring SA is contested.</t>
  </si>
  <si>
    <t xml:space="preserve">The spine of the whole review. DAL and canonical observations support perception; detection, evidence bundles and hypotheses support comprehension; EM Fusion deliberately stops before projection and leaves it to the analyst. Introduce in 2.1, return to it in 2.6.</t>
  </si>
  <si>
    <t xml:space="preserve">thesis_notes: An aircraft's state is a lookup into stored findings, with three values and a deliberately mild word</t>
  </si>
  <si>
    <t xml:space="preserve">To read</t>
  </si>
  <si>
    <t xml:space="preserve">S02</t>
  </si>
  <si>
    <t xml:space="preserve">Optional</t>
  </si>
  <si>
    <t xml:space="preserve">Stanton, N.A. et al. (2006) 'Distributed situation awareness in dynamic systems: theoretical development and application of an ergonomics methodology', Ergonomics, 49(12–13), pp. 1288–1311.</t>
  </si>
  <si>
    <t xml:space="preserve">2006</t>
  </si>
  <si>
    <t xml:space="preserve">Situation awareness is distributed across people and artefacts in a system rather than held only in individual heads.</t>
  </si>
  <si>
    <t xml:space="preserve">Theoretical development plus applied ergonomics methodology.</t>
  </si>
  <si>
    <t xml:space="preserve">Harder to operationalise than Endsley's model; less used in software design.</t>
  </si>
  <si>
    <t xml:space="preserve">One sentence of critical tension on Endsley: EM Fusion is itself an artefact that holds part of the awareness (stored findings, provenance), which is a distributed-SA reading of the system.</t>
  </si>
  <si>
    <t xml:space="preserve">S03</t>
  </si>
  <si>
    <t xml:space="preserve">Felux, M., Figuet, B., Waltert, M., Fol, P., Strohmeier, M. and Olive, X. (2023) 'Analysis of GNSS disruptions in European airspace', in Proceedings of the 2023 International Technical Meeting of The Institute of Navigation (ION ITM). Long Beach, CA, pp. 315–326. doi:10.33012/2023.18626.</t>
  </si>
  <si>
    <t xml:space="preserve">2023</t>
  </si>
  <si>
    <t xml:space="preserve">Conference</t>
  </si>
  <si>
    <t xml:space="preserve">Checked 11 Oct 2026</t>
  </si>
  <si>
    <t xml:space="preserve">GNSS disruption affecting civil aircraft across European airspace can be observed and analysed in crowdsourced ADS-B data.</t>
  </si>
  <si>
    <t xml:space="preserve">Large-scale analysis of ADS-B data; authors include members of the OpenSky team. Read the paper to confirm which ADS-B fields they rely on.</t>
  </si>
  <si>
    <t xml:space="preserve">Civil-aviation lens; likely depends on integrity fields that OpenSky's state vectors do not carry.</t>
  </si>
  <si>
    <t xml:space="preserve">Your strongest motivation source: GNSS disruption is real, current, and visible in the same family of open data as your replay corpus. Use it to justify the domain as both credible and safe (open data only).</t>
  </si>
  <si>
    <t xml:space="preserve">thesis_notes: The staged track signature sits inside the corpus's own background, and no threshold separates them</t>
  </si>
  <si>
    <t xml:space="preserve">Main RQ, RQ2</t>
  </si>
  <si>
    <t xml:space="preserve">https://www.cs.ox.ac.uk/publications/publication15799-abstract.html</t>
  </si>
  <si>
    <t xml:space="preserve">S04</t>
  </si>
  <si>
    <t xml:space="preserve">Supporting</t>
  </si>
  <si>
    <t xml:space="preserve">Figuet, B. et al. (2022) 'GNSS jamming and its effect on air traffic in Eastern Europe', Engineering Proceedings. [Verify full author list, volume and article number.]</t>
  </si>
  <si>
    <t xml:space="preserve">2022</t>
  </si>
  <si>
    <t xml:space="preserve">Checked 11 Oct 2026 (exists; details to verify)</t>
  </si>
  <si>
    <t xml:space="preserve">GNSS jamming has a measurable effect on air traffic in Eastern Europe, visible in ADS-B data.</t>
  </si>
  <si>
    <t xml:space="preserve">Regional empirical analysis of aircraft surveillance data.</t>
  </si>
  <si>
    <t xml:space="preserve">Single-region case study.</t>
  </si>
  <si>
    <t xml:space="preserve">Second empirical anchor alongside S03; shows the problem is regional and ongoing, not hypothetical.</t>
  </si>
  <si>
    <t xml:space="preserve">https://digitalcollection.zhaw.ch/handle/11475/26900</t>
  </si>
  <si>
    <t xml:space="preserve">S05</t>
  </si>
  <si>
    <t xml:space="preserve">Liu, Z., Lo, S. and Walter, T. (2022) 'GNSS interference source localization using ADS-B data', in Proceedings of the 2022 International Technical Meeting of The Institute of Navigation (ION ITM). [Verify venue and pages.]</t>
  </si>
  <si>
    <t xml:space="preserve">GNSS interference sources can be localised from the ADS-B Navigation Integrity Category (NIC): positions with NIC below 7 are treated as affected, and a Bayesian grid search estimates jammer location and power.</t>
  </si>
  <si>
    <t xml:space="preserve">ADS-B NIC values plus aircraft position and altitude.</t>
  </si>
  <si>
    <t xml:space="preserve">Depends on NIC, which OpenSky state vectors do not include. Localises a source; does not explain alternatives such as coverage loss.</t>
  </si>
  <si>
    <t xml:space="preserve">The established technique uses integrity fields. EM Fusion's aircraft side has only update gaps / contact staleness, a weaker proxy that overlaps with ordinary coverage loss. Name this contrast explicitly: it is a strength of the review and the honest root of your coverage-gap limitation.</t>
  </si>
  <si>
    <t xml:space="preserve">thesis_notes: The staged track signature sits inside the corpus's own background…; Limitation: the aircraft-coverage-gap arm has no positive rule</t>
  </si>
  <si>
    <t xml:space="preserve">https://web.stanford.edu/group/scpnt/gpslab/pubs/papers/Liu_ION_ITM_2022_ADSB.pdf</t>
  </si>
  <si>
    <t xml:space="preserve">S06</t>
  </si>
  <si>
    <t xml:space="preserve">Schäfer, M., Strohmeier, M., Lenders, V., Martinovic, I. and Wilhelm, M. (2014) 'Bringing up OpenSky: a large-scale ADS-B sensor network for research', in Proceedings of the 13th International Symposium on Information Processing in Sensor Networks (IPSN). IEEE, pp. 83–94. [Verify pages.]</t>
  </si>
  <si>
    <t xml:space="preserve">2014</t>
  </si>
  <si>
    <t xml:space="preserve">OpenSky is a crowdsourced ADS-B receiver network that makes aircraft surveillance data available for research.</t>
  </si>
  <si>
    <t xml:space="preserve">System description and network characterisation.</t>
  </si>
  <si>
    <t xml:space="preserve">Coverage depends on volunteer receivers, so gaps in the data are not evidence of interference.</t>
  </si>
  <si>
    <t xml:space="preserve">Provenance of your replay corpus. Its uneven coverage is exactly why the coverage-gap scenario exists: a gap caused by no receiver nearby must not be read as jamming.</t>
  </si>
  <si>
    <t xml:space="preserve">thesis_notes: Data acquisition: OpenSky static snapshot rather than the Trino interface; Bounding box: 49–54°N, 3–11°E</t>
  </si>
  <si>
    <t xml:space="preserve">RQ1, RQ2</t>
  </si>
  <si>
    <t xml:space="preserve">https://opensky-network.org</t>
  </si>
  <si>
    <t xml:space="preserve">S07</t>
  </si>
  <si>
    <t xml:space="preserve">Ministry of Defence (2025) The Strategic Defence Review 2025 – Making Britain Safer: secure at home, strong abroad. London: MoD.</t>
  </si>
  <si>
    <t xml:space="preserve">2025</t>
  </si>
  <si>
    <t xml:space="preserve">Official document</t>
  </si>
  <si>
    <t xml:space="preserve">Describes a changed threat environment and calls for modernised capability, including cyber and electromagnetic capability.</t>
  </si>
  <si>
    <t xml:space="preserve">Government policy review.</t>
  </si>
  <si>
    <t xml:space="preserve">Policy statement, not evidence. Easy to over-quote.</t>
  </si>
  <si>
    <t xml:space="preserve">Context. Carry it mainly in the Introduction; one or two sentences in 2.1 at most.</t>
  </si>
  <si>
    <t xml:space="preserve">https://www.gov.uk/government/publications/the-strategic-defence-review-2025-making-britain-safer-secure-at-home-strong-abroad</t>
  </si>
  <si>
    <t xml:space="preserve">S08</t>
  </si>
  <si>
    <t xml:space="preserve">Development, Concepts and Doctrine Centre (2018) Joint Concept Note 2/18: Information Advantage. Shrivenham: DCDC. [Verify title and date.]</t>
  </si>
  <si>
    <t xml:space="preserve">2018</t>
  </si>
  <si>
    <t xml:space="preserve">Frames information advantage as a UK military concept: gaining advantage through the use and exploitation of information.</t>
  </si>
  <si>
    <t xml:space="preserve">Doctrine / concept note.</t>
  </si>
  <si>
    <t xml:space="preserve">Concept-level; not about software or data systems specifically.</t>
  </si>
  <si>
    <t xml:space="preserve">Grounds 'decision advantage' in UK doctrine instead of marketing language. Use if 2.1 needs a definition of the term.</t>
  </si>
  <si>
    <t xml:space="preserve">S09</t>
  </si>
  <si>
    <t xml:space="preserve">Department of Defense (2020) Electromagnetic Spectrum Superiority Strategy. Washington, DC: DoD. [Verify.]</t>
  </si>
  <si>
    <t xml:space="preserve">2020</t>
  </si>
  <si>
    <t xml:space="preserve">Treats the electromagnetic spectrum as a contested domain where awareness and superiority are strategic priorities.</t>
  </si>
  <si>
    <t xml:space="preserve">National strategy document.</t>
  </si>
  <si>
    <t xml:space="preserve">US, not UK. High-level.</t>
  </si>
  <si>
    <t xml:space="preserve">Shows allied doctrine prioritises EM spectrum awareness. Use only if UK sources are thin.</t>
  </si>
  <si>
    <t xml:space="preserve">S10</t>
  </si>
  <si>
    <t xml:space="preserve">Hall, D.L. and Llinas, J. (1997) 'An introduction to multisensor data fusion', Proceedings of the IEEE, 85(1), pp. 6–23.</t>
  </si>
  <si>
    <t xml:space="preserve">1997</t>
  </si>
  <si>
    <t xml:space="preserve">Multisensor fusion combines data from several sources to reach inferences that no single source supports; introduces the JDL process model to a wider audience.</t>
  </si>
  <si>
    <t xml:space="preserve">Tutorial / survey.</t>
  </si>
  <si>
    <t xml:space="preserve">Pre-dates modern data platforms and machine learning; sensor-centric.</t>
  </si>
  <si>
    <t xml:space="preserve">Defines fusion. Justifies why RF plus aircraft evidence together can say more than either alone, which your sensor-fault and mixed-evidence arms test directly.</t>
  </si>
  <si>
    <t xml:space="preserve">thesis_notes: The five scenario types span a confusion space rather than enumerate faults</t>
  </si>
  <si>
    <t xml:space="preserve">S11</t>
  </si>
  <si>
    <t xml:space="preserve">Steinberg, A.N., Bowman, C.L. and White, F.E. (1999) 'Revisions to the JDL data fusion model', in Proceedings of SPIE 3719, Sensor Fusion: Architectures, Algorithms, and Applications III.</t>
  </si>
  <si>
    <t xml:space="preserve">1999</t>
  </si>
  <si>
    <t xml:space="preserve">Revises the JDL levels (0 sub-object, 1 object, 2 situation, 3 impact, 4 process refinement) and broadens them beyond military use.</t>
  </si>
  <si>
    <t xml:space="preserve">Conceptual revision of a reference model.</t>
  </si>
  <si>
    <t xml:space="preserve">The levels are often misread as a processing pipeline or architecture.</t>
  </si>
  <si>
    <t xml:space="preserve">Place your pipeline on it: adapters/DAL ≈ Levels 0–1; rule ladder and evidence bundles ≈ Level 2 situation assessment; impact assessment (Level 3) deliberately out of scope.</t>
  </si>
  <si>
    <t xml:space="preserve">S12</t>
  </si>
  <si>
    <t xml:space="preserve">Blasch, E.P. and Plano, S. (2002) 'JDL Level 5 fusion model: user refinement issues and applications in group tracking', in Proceedings of SPIE 4729. [Verify.]</t>
  </si>
  <si>
    <t xml:space="preserve">2002</t>
  </si>
  <si>
    <t xml:space="preserve">Adds Level 5, 'user refinement': the human is part of the fusion process, guiding and validating it.</t>
  </si>
  <si>
    <t xml:space="preserve">Conceptual extension with application examples.</t>
  </si>
  <si>
    <t xml:space="preserve">Conceptual; few empirical evaluations.</t>
  </si>
  <si>
    <t xml:space="preserve">Your analyst-verdict loop is Level 5 in the fusion field's own vocabulary. Lets you argue human-in-the-loop is a fusion design principle, not a bolt-on.</t>
  </si>
  <si>
    <t xml:space="preserve">RQ1, RQ3</t>
  </si>
  <si>
    <t xml:space="preserve">S13</t>
  </si>
  <si>
    <t xml:space="preserve">Khaleghi, B., Khamis, A., Karray, F.O. and Razavi, S.N. (2013) 'Multisensor data fusion: a review of the state-of-the-art', Information Fusion, 14(1), pp. 28–44.</t>
  </si>
  <si>
    <t xml:space="preserve">2013</t>
  </si>
  <si>
    <t xml:space="preserve">Organises fusion challenges by data imperfection, correlation, inconsistency (conflict, outliers) and disparateness.</t>
  </si>
  <si>
    <t xml:space="preserve">Survey.</t>
  </si>
  <si>
    <t xml:space="preserve">Algorithm-focused; little on software architecture.</t>
  </si>
  <si>
    <t xml:space="preserve">'Inconsistency' maps to your mixed-evidence arm and to bundles that carry rejected competing claims; 'disparateness' is the case for a canonical model.</t>
  </si>
  <si>
    <t xml:space="preserve">thesis_notes: The safeguard's hardest case is created by the bundle's own honesty</t>
  </si>
  <si>
    <t xml:space="preserve">S14</t>
  </si>
  <si>
    <t xml:space="preserve">Lenzerini, M. (2002) 'Data integration: a theoretical perspective', in Proceedings of the 21st ACM Symposium on Principles of Database Systems (PODS). ACM, pp. 233–246.</t>
  </si>
  <si>
    <t xml:space="preserve">Integration through a global schema and source mappings; global-as-view (GAV) makes querying simple, local-as-view (LAV) makes adding a source simple.</t>
  </si>
  <si>
    <t xml:space="preserve">Formal theory of data integration.</t>
  </si>
  <si>
    <t xml:space="preserve">Theory of virtual integration; EM Fusion materialises data (ETL-style). Say so.</t>
  </si>
  <si>
    <t xml:space="preserve">The theoretical frame for the DAL and RQ1: the canonical model stays fixed and each source is described against it, so a new source is a new adapter. Your measured extensibility result is evidence for that property.</t>
  </si>
  <si>
    <t xml:space="preserve">thesis_notes: The extensibility claim, measured rather than asserted; A second canonical shape, and a prediction worth scoring</t>
  </si>
  <si>
    <t xml:space="preserve">S15</t>
  </si>
  <si>
    <t xml:space="preserve">Hohpe, G. and Woolf, B. (2003) Enterprise Integration Patterns: Designing, Building, and Deploying Messaging Solutions. Boston: Addison-Wesley.</t>
  </si>
  <si>
    <t xml:space="preserve">2003</t>
  </si>
  <si>
    <t xml:space="preserve">Book</t>
  </si>
  <si>
    <t xml:space="preserve">Canonical Data Model pattern: translating each system to one shared model needs about 2n translators instead of n(n−1) point-to-point ones.</t>
  </si>
  <si>
    <t xml:space="preserve">Practitioner pattern catalogue.</t>
  </si>
  <si>
    <t xml:space="preserve">Not empirical. Canonical models can bloat into a lowest-common-denominator schema.</t>
  </si>
  <si>
    <t xml:space="preserve">The software-engineering name and cost argument for your DAL. Pair with S14 (theory) for a practice-plus-theory paragraph.</t>
  </si>
  <si>
    <t xml:space="preserve">S16</t>
  </si>
  <si>
    <t xml:space="preserve">Buneman, P., Khanna, S. and Tan, W.-C. (2001) 'Why and where: a characterization of data provenance', in Database Theory – ICDT 2001. LNCS 1973. Berlin: Springer, pp. 316–330.</t>
  </si>
  <si>
    <t xml:space="preserve">2001</t>
  </si>
  <si>
    <t xml:space="preserve">Distinguishes why-provenance (which source data justify a result) from where-provenance (where a value was copied from).</t>
  </si>
  <si>
    <t xml:space="preserve">Formal characterisation.</t>
  </si>
  <si>
    <t xml:space="preserve">Database-theoretic; does not address ML or generated text.</t>
  </si>
  <si>
    <t xml:space="preserve">Evidence-bundle citations are why-provenance for a hypothesis. Your finding that one cited coordinate in eleven resolved to nothing shows provenance must be verified, not assumed.</t>
  </si>
  <si>
    <t xml:space="preserve">thesis_notes: The first time every citation was checked, one in eleven pointed at nothing; Explainability has a storage problem before it has an interface problem</t>
  </si>
  <si>
    <t xml:space="preserve">S17</t>
  </si>
  <si>
    <t xml:space="preserve">Moreau, L. and Missier, P. (eds) (2013) PROV-DM: The PROV Data Model. W3C Recommendation.</t>
  </si>
  <si>
    <t xml:space="preserve">Standard</t>
  </si>
  <si>
    <t xml:space="preserve">Entity–activity–agent model for recording and exchanging provenance.</t>
  </si>
  <si>
    <t xml:space="preserve">Standards specification.</t>
  </si>
  <si>
    <t xml:space="preserve">Interchange model; you do not implement it.</t>
  </si>
  <si>
    <t xml:space="preserve">Justifies the provenance fields on the canonical observation; one sentence noting how they map to PROV concepts is enough.</t>
  </si>
  <si>
    <t xml:space="preserve">https://www.w3.org/TR/prov-dm/</t>
  </si>
  <si>
    <t xml:space="preserve">S18</t>
  </si>
  <si>
    <t xml:space="preserve">Wang, R.Y. and Strong, D.M. (1996) 'Beyond accuracy: what data quality means to data consumers', Journal of Management Information Systems, 12(4), pp. 5–33.</t>
  </si>
  <si>
    <t xml:space="preserve">1996</t>
  </si>
  <si>
    <t xml:space="preserve">Data quality is multidimensional from the consumer's view: intrinsic, contextual, representational and accessibility dimensions.</t>
  </si>
  <si>
    <t xml:space="preserve">Survey of data consumers plus factor analysis.</t>
  </si>
  <si>
    <t xml:space="preserve">Business-information context; dated.</t>
  </si>
  <si>
    <t xml:space="preserve">Justifies validation and quarantine (intrinsic quality) and showing data mode and absence honestly (representational quality).</t>
  </si>
  <si>
    <t xml:space="preserve">thesis_notes: Absence is served as absence: null rather than a neutral reading; The ERD had no home for a quarantined record</t>
  </si>
  <si>
    <t xml:space="preserve">S19</t>
  </si>
  <si>
    <t xml:space="preserve">Ministry of Defence (2021) Data Strategy for Defence. London: MoD. [Verify title and date.]</t>
  </si>
  <si>
    <t xml:space="preserve">2021</t>
  </si>
  <si>
    <t xml:space="preserve">Treats data as a strategic asset and calls for common standards and interoperability.</t>
  </si>
  <si>
    <t xml:space="preserve">Departmental strategy.</t>
  </si>
  <si>
    <t xml:space="preserve">Policy aspiration, not evidence.</t>
  </si>
  <si>
    <t xml:space="preserve">Organisational motivation for a canonical model in a defence setting. One sentence.</t>
  </si>
  <si>
    <t xml:space="preserve">S20</t>
  </si>
  <si>
    <t xml:space="preserve">Chandola, V., Banerjee, A. and Kumar, V. (2009) 'Anomaly detection: a survey', ACM Computing Surveys, 41(3), Article 15.</t>
  </si>
  <si>
    <t xml:space="preserve">2009</t>
  </si>
  <si>
    <t xml:space="preserve">Taxonomy of point, contextual and collective anomalies, and of detection techniques by category.</t>
  </si>
  <si>
    <t xml:space="preserve">Pre-dates deep learning; says little about evaluation.</t>
  </si>
  <si>
    <t xml:space="preserve">Your anomalies are contextual (an RF reading unusual against its baseline) and collective (a cluster of track gaps), which favours baseline-relative rules over global outlier scores.</t>
  </si>
  <si>
    <t xml:space="preserve">S21</t>
  </si>
  <si>
    <t xml:space="preserve">Blázquez-García, A., Conde, A., Mori, U. and Lozano, J.A. (2021) 'A review on outlier/anomaly detection in time series data', ACM Computing Surveys, 54(3), Article 56.</t>
  </si>
  <si>
    <t xml:space="preserve">Organises time-series outlier detection by point vs subsequence and univariate vs multivariate.</t>
  </si>
  <si>
    <t xml:space="preserve">Method taxonomy; does not settle which methods work best.</t>
  </si>
  <si>
    <t xml:space="preserve">Positions your per-sensor, per-channel baselines as univariate contextual detection. Documents the field's shift toward learned models, which S22–S24 then question.</t>
  </si>
  <si>
    <t xml:space="preserve">thesis_notes: RF observation model: a sensor × channel grid rather than per-sensor readings</t>
  </si>
  <si>
    <t xml:space="preserve">S22</t>
  </si>
  <si>
    <t xml:space="preserve">Wu, R. and Keogh, E.J. (2023) 'Current time series anomaly detection benchmarks are flawed and are creating the illusion of progress', IEEE Transactions on Knowledge and Data Engineering. [arXiv 2020; verify year, volume and pages of published version.]</t>
  </si>
  <si>
    <t xml:space="preserve">Checked 11 Oct 2026 (arXiv)</t>
  </si>
  <si>
    <t xml:space="preserve">Widely used benchmarks are flawed by triviality (one-line solutions), unrealistic anomaly density, mislabelled ground truth and run-to-failure bias.</t>
  </si>
  <si>
    <t xml:space="preserve">Critical analysis of public benchmark datasets.</t>
  </si>
  <si>
    <t xml:space="preserve">Targets univariate benchmarks; authors propose their own archive.</t>
  </si>
  <si>
    <t xml:space="preserve">Justifies synthetic scenarios with generator-side ground truth and simple detectors: credibility comes from trustworthy labels, not detector sophistication.</t>
  </si>
  <si>
    <t xml:space="preserve">thesis_notes: Ground truth is generator-side only</t>
  </si>
  <si>
    <t xml:space="preserve">(example) Read §3 on triviality and §4 on mislabelling. Quote the 'one line of code' point in 2.3.</t>
  </si>
  <si>
    <t xml:space="preserve">https://arxiv.org/abs/2009.13807v3</t>
  </si>
  <si>
    <t xml:space="preserve">S23</t>
  </si>
  <si>
    <t xml:space="preserve">Kim, S., Choi, K., Choi, H.-S., Lee, B. and Yoon, S. (2022) 'Towards a rigorous evaluation of time-series anomaly detection', in Proceedings of the AAAI Conference on Artificial Intelligence, 36(7), pp. 7194–7201. [Verify pages.]</t>
  </si>
  <si>
    <t xml:space="preserve">The common point-adjustment protocol inflates F1 so much that random anomaly scores can look competitive; proposes a stricter evaluation.</t>
  </si>
  <si>
    <t xml:space="preserve">Analytical and empirical critique of evaluation protocols.</t>
  </si>
  <si>
    <t xml:space="preserve">Focused on learned detectors on public benchmarks.</t>
  </si>
  <si>
    <t xml:space="preserve">Justifies defining metrics before measuring and not adjusting them afterwards. Supports your pre-registration and your careful latency definition.</t>
  </si>
  <si>
    <t xml:space="preserve">thesis_notes: Detection latency: defining a delay in a system that has no moment of noticing; Pre-registering the replication before running it</t>
  </si>
  <si>
    <t xml:space="preserve">https://ojs.aaai.org/index.php/AAAI/article/view/20680</t>
  </si>
  <si>
    <t xml:space="preserve">S24</t>
  </si>
  <si>
    <t xml:space="preserve">Schmidl, S., Wenig, P. and Papenbrock, T. (2022) 'Anomaly detection in time series: a comprehensive evaluation', Proceedings of the VLDB Endowment, 15(9), pp. 1779–1797.</t>
  </si>
  <si>
    <t xml:space="preserve">Across 71 algorithms on about 1,000 series, no method wins everywhere and classical methods are often competitive with deep learning.</t>
  </si>
  <si>
    <t xml:space="preserve">Large comparative benchmark.</t>
  </si>
  <si>
    <t xml:space="preserve">Results depend on the benchmark collection used.</t>
  </si>
  <si>
    <t xml:space="preserve">Supports the choice of deterministic rules: there is no evidence a complex detector would have been better, and rules can be cited as evidence.</t>
  </si>
  <si>
    <t xml:space="preserve">S25</t>
  </si>
  <si>
    <t xml:space="preserve">Liu, F.T., Ting, K.M. and Zhou, Z.-H. (2008) 'Isolation forest', in Proceedings of the 8th IEEE International Conference on Data Mining (ICDM). IEEE, pp. 413–422.</t>
  </si>
  <si>
    <t xml:space="preserve">2008</t>
  </si>
  <si>
    <t xml:space="preserve">Isolates anomalies by random partitioning; efficient and unsupervised.</t>
  </si>
  <si>
    <t xml:space="preserve">Algorithm proposal and experiments.</t>
  </si>
  <si>
    <t xml:space="preserve">Produces a score without a human-readable rule.</t>
  </si>
  <si>
    <t xml:space="preserve">Cite only to explain why it was set aside: an unsupervised score is hard to put in an evidence bundle as a citable finding.</t>
  </si>
  <si>
    <t xml:space="preserve">S26</t>
  </si>
  <si>
    <t xml:space="preserve">Parasuraman, R., Sheridan, T.B. and Wickens, C.D. (2000) 'A model for types and levels of human interaction with automation', IEEE Transactions on Systems, Man, and Cybernetics – Part A, 30(3), pp. 286–297.</t>
  </si>
  <si>
    <t xml:space="preserve">2000</t>
  </si>
  <si>
    <t xml:space="preserve">Automation applies to four stages (information acquisition, information analysis, decision selection, action implementation), each at its own level.</t>
  </si>
  <si>
    <t xml:space="preserve">Conceptual model.</t>
  </si>
  <si>
    <t xml:space="preserve">Pre-dates generative AI; levels are coarse.</t>
  </si>
  <si>
    <t xml:space="preserve">States EM Fusion's position precisely: it automates acquisition and analysis, and deliberately not decision selection or action.</t>
  </si>
  <si>
    <t xml:space="preserve">S27</t>
  </si>
  <si>
    <t xml:space="preserve">Parasuraman, R. and Riley, V. (1997) 'Humans and automation: use, misuse, disuse, abuse', Human Factors, 39(2), pp. 230–253.</t>
  </si>
  <si>
    <t xml:space="preserve">Distinguishes use, misuse (over-reliance), disuse (under-reliance) and abuse of automation.</t>
  </si>
  <si>
    <t xml:space="preserve">Review and conceptual analysis.</t>
  </si>
  <si>
    <t xml:space="preserve">Pre-AI; examples from aviation and process control.</t>
  </si>
  <si>
    <t xml:space="preserve">Names the risk your design guards against: misuse, an analyst accepting a hypothesis because the system produced it.</t>
  </si>
  <si>
    <t xml:space="preserve">S28</t>
  </si>
  <si>
    <t xml:space="preserve">Lee, J.D. and See, K.A. (2004) 'Trust in automation: designing for appropriate reliance', Human Factors, 46(1), pp. 50–80.</t>
  </si>
  <si>
    <t xml:space="preserve">2004</t>
  </si>
  <si>
    <t xml:space="preserve">The goal is calibrated trust, reliance that matches the system's real capability; showing purpose, process and performance supports calibration.</t>
  </si>
  <si>
    <t xml:space="preserve">Integrative review.</t>
  </si>
  <si>
    <t xml:space="preserve">Trust measurement varies across studies.</t>
  </si>
  <si>
    <t xml:space="preserve">Justifies Low/Medium/High instead of fake precision, mild wording, and showing uncertainty and alternatives beside every hypothesis.</t>
  </si>
  <si>
    <t xml:space="preserve">thesis_notes: The contract violated the project's own no-fake-precision rule…; An aircraft's state is a lookup into stored findings, with three values and a deliberately mild word</t>
  </si>
  <si>
    <t xml:space="preserve">S29</t>
  </si>
  <si>
    <t xml:space="preserve">Cummings, M.L. (2004) 'Automation bias in intelligent time critical decision support systems', in AIAA 1st Intelligent Systems Technical Conference. Chicago, IL. [Verify.]</t>
  </si>
  <si>
    <t xml:space="preserve">Under time pressure, operators tend to accept automated recommendations, producing errors of commission and omission.</t>
  </si>
  <si>
    <t xml:space="preserve">Review with defence and aviation examples.</t>
  </si>
  <si>
    <t xml:space="preserve">Conference paper; argument more than new data.</t>
  </si>
  <si>
    <t xml:space="preserve">Time pressure is your use case. Motivates showing evidence before conclusions and keeping the human verdict explicit.</t>
  </si>
  <si>
    <t xml:space="preserve">S30</t>
  </si>
  <si>
    <t xml:space="preserve">Bansal, G. et al. (2021) 'Does the whole exceed its parts? The effect of AI explanations on complementary team performance', in Proceedings of the 2021 CHI Conference on Human Factors in Computing Systems. ACM.</t>
  </si>
  <si>
    <t xml:space="preserve">AI explanations increased acceptance of AI recommendations whether or not they were correct, and did not beat simply showing confidence.</t>
  </si>
  <si>
    <t xml:space="preserve">Controlled user studies.</t>
  </si>
  <si>
    <t xml:space="preserve">Lab tasks, not operational analysts.</t>
  </si>
  <si>
    <t xml:space="preserve">Your strongest argument that fluent explanations are a risk, not just a benefit. Justifies a grounding check and blind scoring of evidence fidelity over persuasiveness, and the honest template baseline.</t>
  </si>
  <si>
    <t xml:space="preserve">thesis_notes: A baseline that cannot flatter itself, and the two jobs that shape it</t>
  </si>
  <si>
    <t xml:space="preserve">S31</t>
  </si>
  <si>
    <t xml:space="preserve">Buçinca, Z., Malaya, M.B. and Gajos, K.Z. (2021) 'To trust or to think: cognitive forcing functions can reduce overreliance on AI in AI-assisted decision-making', Proceedings of the ACM on Human-Computer Interaction, 5(CSCW1), Article 188.</t>
  </si>
  <si>
    <t xml:space="preserve">Cognitive forcing functions reduce over-reliance on AI, but users like them less.</t>
  </si>
  <si>
    <t xml:space="preserve">Controlled experiments.</t>
  </si>
  <si>
    <t xml:space="preserve">Lab setting; trade-off between accuracy and user preference.</t>
  </si>
  <si>
    <t xml:space="preserve">Asking for an explicit verdict and showing alternatives is a mild forcing function. Because the user study was withdrawn, its effect is untested: say so.</t>
  </si>
  <si>
    <t xml:space="preserve">thesis_notes: Evaluation design: withdrawing the task-based user study, retaining blind rubric scoring</t>
  </si>
  <si>
    <t xml:space="preserve">S32</t>
  </si>
  <si>
    <t xml:space="preserve">Miller, T. (2019) 'Explanation in artificial intelligence: insights from the social sciences', Artificial Intelligence, 267, pp. 1–38.</t>
  </si>
  <si>
    <t xml:space="preserve">2019</t>
  </si>
  <si>
    <t xml:space="preserve">Human explanations are contrastive (why P rather than Q), selective and social; causes matter more to people than probabilities.</t>
  </si>
  <si>
    <t xml:space="preserve">Review of philosophy, psychology and cognitive science.</t>
  </si>
  <si>
    <t xml:space="preserve">Mostly about explaining model decisions, not generated hypotheses.</t>
  </si>
  <si>
    <t xml:space="preserve">Alternative explanations and the rejected competing claims carried in each bundle make your hypotheses contrastive. Also supports categorical confidence over numbers.</t>
  </si>
  <si>
    <t xml:space="preserve">S33</t>
  </si>
  <si>
    <t xml:space="preserve">Doshi-Velez, F. and Kim, B. (2017) 'Towards a rigorous science of interpretable machine learning', arXiv:1702.08608.</t>
  </si>
  <si>
    <t xml:space="preserve">2017</t>
  </si>
  <si>
    <t xml:space="preserve">Preprint</t>
  </si>
  <si>
    <t xml:space="preserve">Interpretability can be evaluated in three ways: application-grounded, human-grounded and functionally-grounded.</t>
  </si>
  <si>
    <t xml:space="preserve">Position paper.</t>
  </si>
  <si>
    <t xml:space="preserve">Preprint; a taxonomy, not evidence.</t>
  </si>
  <si>
    <t xml:space="preserve">Places your evaluation cleanly: detection metrics and the grounding check are functionally-grounded; the blind rubric is human-grounded; the withdrawn user study would have been application-grounded. A neat way to state the gap in 2.6.</t>
  </si>
  <si>
    <t xml:space="preserve">S34</t>
  </si>
  <si>
    <t xml:space="preserve">Ji, Z. et al. (2023) 'Survey of hallucination in natural language generation', ACM Computing Surveys, 55(12), Article 248.</t>
  </si>
  <si>
    <t xml:space="preserve">Hallucination is intrinsic (contradicts the source) or extrinsic (cannot be verified from the source).</t>
  </si>
  <si>
    <t xml:space="preserve">Covers many tasks; mitigation results vary by task.</t>
  </si>
  <si>
    <t xml:space="preserve">Your grounding check targets fabricated references (extrinsic); misdescribed references (intrinsic) are left to the rubric. This is the vocabulary for that limitation.</t>
  </si>
  <si>
    <t xml:space="preserve">thesis_notes: Threat to validity: the grounding check resolves identifiers, not sentences</t>
  </si>
  <si>
    <t xml:space="preserve">S35</t>
  </si>
  <si>
    <t xml:space="preserve">Rashkin, H. et al. (2023) 'Measuring attribution in natural language generation models', Computational Linguistics, 49(4), pp. 777–840.</t>
  </si>
  <si>
    <t xml:space="preserve">Attributable to Identified Sources (AIS): output counts as attributable if a generic reader would agree the identified sources support it; defines a human-annotation protocol.</t>
  </si>
  <si>
    <t xml:space="preserve">Framework plus annotation studies.</t>
  </si>
  <si>
    <t xml:space="preserve">Human judgement is expensive; automatic proxies are imperfect.</t>
  </si>
  <si>
    <t xml:space="preserve">Closest relative of your grounding check. AIS judges sentences; your check resolves identifiers, so your catch rate is a lower bound on ungroundedness. Your rubric's evidence-fidelity dimension is a small AIS-style human judgement.</t>
  </si>
  <si>
    <t xml:space="preserve">S36</t>
  </si>
  <si>
    <t xml:space="preserve">Gao, T., Yen, H., Yu, J. and Chen, D. (2023) 'Enabling large language models to generate text with citations', in Proceedings of the 2023 Conference on Empirical Methods in Natural Language Processing (EMNLP). ACL. [Verify pages.]</t>
  </si>
  <si>
    <t xml:space="preserve">ALCE benchmark: LLM answers with citations, with citation recall and precision measured automatically using entailment; models often lack full citation support.</t>
  </si>
  <si>
    <t xml:space="preserve">Benchmark and evaluation.</t>
  </si>
  <si>
    <t xml:space="preserve">Open-domain QA, not decision support.</t>
  </si>
  <si>
    <t xml:space="preserve">Shows the field measures citation support at sentence level. Contrast with your exact-identifier matching and justify the choice: exact, auditable, no model judging a model.</t>
  </si>
  <si>
    <t xml:space="preserve">thesis_notes: Matching is exact, and a near miss is recorded rather than forgiven</t>
  </si>
  <si>
    <t xml:space="preserve">S37</t>
  </si>
  <si>
    <t xml:space="preserve">Lewis, P. et al. (2020) 'Retrieval-augmented generation for knowledge-intensive NLP tasks', in Advances in Neural Information Processing Systems 33 (NeurIPS 2020), pp. 9459–9474.</t>
  </si>
  <si>
    <t xml:space="preserve">Combining a language model with retrieved documents improves factual, knowledge-intensive generation.</t>
  </si>
  <si>
    <t xml:space="preserve">Model architecture plus benchmarks.</t>
  </si>
  <si>
    <t xml:space="preserve">Retrieval can still surface wrong or irrelevant material.</t>
  </si>
  <si>
    <t xml:space="preserve">Frame the evidence bundle as constrained retrieval: deterministic rules choose the evidence, so the model never searches and cannot pull in anything unvetted.</t>
  </si>
  <si>
    <t xml:space="preserve">S38</t>
  </si>
  <si>
    <t xml:space="preserve">Ouyang, S., Zhang, J.M., Harman, M. and Wang, M. (2025) 'An empirical study of the non-determinism of ChatGPT in code generation', ACM Transactions on Software Engineering and Methodology. [Verify volume/issue; arXiv 2308.02828.]</t>
  </si>
  <si>
    <t xml:space="preserve">LLM outputs vary substantially across repeated requests, even at temperature 0.</t>
  </si>
  <si>
    <t xml:space="preserve">Empirical study over code-generation benchmarks.</t>
  </si>
  <si>
    <t xml:space="preserve">Code generation, not explanation; model versions change.</t>
  </si>
  <si>
    <t xml:space="preserve">Backs your own finding that the provider was not deterministic at temperature 0 with a fixed seed, and justifies N = 3 generations per bundle.</t>
  </si>
  <si>
    <t xml:space="preserve">thesis_notes: The provider is not deterministic at temperature 0 with a fixed seed; Raising N from one to three…</t>
  </si>
  <si>
    <t xml:space="preserve">https://arxiv.org/abs/2308.02828</t>
  </si>
  <si>
    <t xml:space="preserve">S39</t>
  </si>
  <si>
    <t xml:space="preserve">Ministry of Defence (2024) JSP 936: Dependable Artificial Intelligence (AI) in Defence. Part 1: Directive. London: MoD.</t>
  </si>
  <si>
    <t xml:space="preserve">2024</t>
  </si>
  <si>
    <t xml:space="preserve">Directive for assuring AI-enabled systems across their lifecycle in UK defence, built on the MoD's AI ethics principles.</t>
  </si>
  <si>
    <t xml:space="preserve">Departmental directive.</t>
  </si>
  <si>
    <t xml:space="preserve">Written for MoD programmes; your prototype is not formally assured under it.</t>
  </si>
  <si>
    <t xml:space="preserve">The governing UK document. Map your safeguards to its principles: understanding → evidence and provenance; reliability → grounding check and fallbacks; human-centricity and responsibility → the analyst verdict.</t>
  </si>
  <si>
    <t xml:space="preserve">thesis_notes: Two failure categories, because two fallbacks must not become one</t>
  </si>
  <si>
    <t xml:space="preserve">https://www.gov.uk/government/publications/jsp-936-dependable-artificial-intelligence-ai-in-defence-part-1-directive</t>
  </si>
  <si>
    <t xml:space="preserve">S40</t>
  </si>
  <si>
    <t xml:space="preserve">Ministry of Defence (2022) Ambitious, Safe, Responsible: Our Approach to the Delivery of AI-enabled Capability in Defence. London: MoD. [Verify title.]</t>
  </si>
  <si>
    <t xml:space="preserve">Sets five AI ethics principles: human-centricity, responsibility, understanding, bias and harm mitigation, reliability.</t>
  </si>
  <si>
    <t xml:space="preserve">Policy paper.</t>
  </si>
  <si>
    <t xml:space="preserve">Principles, not mechanisms.</t>
  </si>
  <si>
    <t xml:space="preserve">The principle set your design maps onto. Pair with S44 to argue that principles need concrete mechanisms.</t>
  </si>
  <si>
    <t xml:space="preserve">S41</t>
  </si>
  <si>
    <t xml:space="preserve">Ministry of Defence (2022) Defence Artificial Intelligence Strategy. London: MoD.</t>
  </si>
  <si>
    <t xml:space="preserve">Aims to adopt AI at pace and scale while remaining effective, trusted and responsible.</t>
  </si>
  <si>
    <t xml:space="preserve">Aspirational.</t>
  </si>
  <si>
    <t xml:space="preserve">Context; already in your proposal. One sentence.</t>
  </si>
  <si>
    <t xml:space="preserve">S42</t>
  </si>
  <si>
    <t xml:space="preserve">National Institute of Standards and Technology (2023) Artificial Intelligence Risk Management Framework (AI RMF 1.0). NIST AI 100-1. Gaithersburg, MD: NIST.</t>
  </si>
  <si>
    <t xml:space="preserve">Four functions (Govern, Map, Measure, Manage) and trustworthiness characteristics including valid and reliable, explainable and interpretable, accountable and transparent.</t>
  </si>
  <si>
    <t xml:space="preserve">Voluntary framework.</t>
  </si>
  <si>
    <t xml:space="preserve">US and voluntary; not defence-specific.</t>
  </si>
  <si>
    <t xml:space="preserve">A civilian cross-check on the MoD principles. 'Measure' maps to your evaluation harness.</t>
  </si>
  <si>
    <t xml:space="preserve">S43</t>
  </si>
  <si>
    <t xml:space="preserve">NATO (2021) Summary of the NATO Artificial Intelligence Strategy (Principles of Responsible Use). Brussels: NATO. [Verify title.]</t>
  </si>
  <si>
    <t xml:space="preserve">Six principles: lawfulness; responsibility and accountability; explainability and traceability; reliability; governability; bias mitigation.</t>
  </si>
  <si>
    <t xml:space="preserve">Alliance strategy summary.</t>
  </si>
  <si>
    <t xml:space="preserve">High-level.</t>
  </si>
  <si>
    <t xml:space="preserve">'Traceability' maps to provenance and grounding; 'governability' maps to fallbacks and the human override.</t>
  </si>
  <si>
    <t xml:space="preserve">S44</t>
  </si>
  <si>
    <t xml:space="preserve">Taddeo, M., McNeish, D., Blanchard, A. and Edgar, E. (2021) 'Ethical principles for artificial intelligence in national defence', Philosophy &amp; Technology, 34(4), pp. 1707–1729.</t>
  </si>
  <si>
    <t xml:space="preserve">Proposes ethical principles for defence AI and argues that principles must be translated into practice to matter.</t>
  </si>
  <si>
    <t xml:space="preserve">Normative analysis.</t>
  </si>
  <si>
    <t xml:space="preserve">Normative; no implementation study.</t>
  </si>
  <si>
    <t xml:space="preserve">The academic voice in 2.5. Supports your argument that EM Fusion turns principles into testable mechanisms (grounding check, fallback, verdict).</t>
  </si>
  <si>
    <t xml:space="preserve">S45</t>
  </si>
  <si>
    <t xml:space="preserve">Roff, H.M. and Danks, D. (2018) ''Trust but verify': the difficulty of trusting autonomous weapon systems', Journal of Military Ethics, 17(1), pp. 2–20.</t>
  </si>
  <si>
    <t xml:space="preserve">Trust in autonomous military systems needs predictability and understanding, which are hard to verify.</t>
  </si>
  <si>
    <t xml:space="preserve">Philosophical analysis.</t>
  </si>
  <si>
    <t xml:space="preserve">About weapon systems, far from your use case.</t>
  </si>
  <si>
    <t xml:space="preserve">Optional bridge between trust (S28) and verification. Use carefully: EM Fusion is not a weapon system.</t>
  </si>
  <si>
    <t xml:space="preserve">Your decision or finding (thesis_notes.md heading)</t>
  </si>
  <si>
    <t xml:space="preserve">Notes chapter</t>
  </si>
  <si>
    <t xml:space="preserve">Sources (Matrix IDs)</t>
  </si>
  <si>
    <t xml:space="preserve">Use the source to…</t>
  </si>
  <si>
    <t xml:space="preserve">Lit review section</t>
  </si>
  <si>
    <t xml:space="preserve">Sentence starter (rewrite in your own words)</t>
  </si>
  <si>
    <t xml:space="preserve">Ground truth is generator-side only</t>
  </si>
  <si>
    <t xml:space="preserve">Methodology</t>
  </si>
  <si>
    <t xml:space="preserve">S22, S23</t>
  </si>
  <si>
    <t xml:space="preserve">Support</t>
  </si>
  <si>
    <t xml:space="preserve">Because widely used benchmarks have been shown to carry mislabelled or leaky ground truth (Wu and Keogh), EM Fusion records ground truth only on the generator side…</t>
  </si>
  <si>
    <t xml:space="preserve">The five scenario types span a confusion space rather than enumerate faults</t>
  </si>
  <si>
    <t xml:space="preserve">System Design</t>
  </si>
  <si>
    <t xml:space="preserve">S13, S20, S10</t>
  </si>
  <si>
    <t xml:space="preserve">Conflicting evidence is a recognised fusion challenge (Khaleghi et al.), so the scenarios include cases built to tempt a false interference claim…</t>
  </si>
  <si>
    <t xml:space="preserve">The staged track signature sits inside the corpus's own background, and no threshold separates them</t>
  </si>
  <si>
    <t xml:space="preserve">Implementation</t>
  </si>
  <si>
    <t xml:space="preserve">S05, S03, S06</t>
  </si>
  <si>
    <t xml:space="preserve">Contrast and limitation</t>
  </si>
  <si>
    <t xml:space="preserve">2.1 / 2.3</t>
  </si>
  <si>
    <t xml:space="preserve">Published approaches detect interference from ADS-B integrity fields (Liu, Lo and Walter); the open state vectors used here carry only update timing, which overlaps with ordinary coverage loss…</t>
  </si>
  <si>
    <t xml:space="preserve">Limitation: the aircraft-coverage-gap arm has no positive rule</t>
  </si>
  <si>
    <t xml:space="preserve">Evaluation</t>
  </si>
  <si>
    <t xml:space="preserve">S06, S05</t>
  </si>
  <si>
    <t xml:space="preserve">Limitation</t>
  </si>
  <si>
    <t xml:space="preserve">2.3 (and Discussion)</t>
  </si>
  <si>
    <t xml:space="preserve">Crowdsourced receiver networks have uneven coverage (Schäfer et al.), so silence is not evidence of interference…</t>
  </si>
  <si>
    <t xml:space="preserve">The extensibility claim, measured rather than asserted</t>
  </si>
  <si>
    <t xml:space="preserve">S14, S15</t>
  </si>
  <si>
    <t xml:space="preserve">Integration theory distinguishes designs where adding a source is local from those where it is not (Lenzerini); RQ1 measures which one the DAL achieves…</t>
  </si>
  <si>
    <t xml:space="preserve">The first time every citation was checked, one in eleven pointed at nothing</t>
  </si>
  <si>
    <t xml:space="preserve">S16, S17</t>
  </si>
  <si>
    <t xml:space="preserve">Provenance research separates where a value came from and why a result holds (Buneman, Khanna and Tan); EM Fusion checks the second rather than assuming it…</t>
  </si>
  <si>
    <t xml:space="preserve">Absence is served as absence: null rather than a neutral reading; The ERD had no home for a quarantined record</t>
  </si>
  <si>
    <t xml:space="preserve">System Design / Implementation</t>
  </si>
  <si>
    <t xml:space="preserve">Data quality has representational as well as intrinsic dimensions (Wang and Strong), so missing data is shown as missing…</t>
  </si>
  <si>
    <t xml:space="preserve">The contract violated the project's own no-fake-precision rule…</t>
  </si>
  <si>
    <t xml:space="preserve">S28, S32</t>
  </si>
  <si>
    <t xml:space="preserve">Appropriate reliance depends on calibrated trust (Lee and See); a generated '87%' invites an analyst to treat a guess as a measurement…</t>
  </si>
  <si>
    <t xml:space="preserve">An aircraft's state is a lookup into stored findings, with three values and a deliberately mild word</t>
  </si>
  <si>
    <t xml:space="preserve">S28, S27, S29</t>
  </si>
  <si>
    <t xml:space="preserve">Under time pressure, operators over-accept automated outputs (Cummings), so the interface uses deliberately mild wording…</t>
  </si>
  <si>
    <t xml:space="preserve">The safeguard's hardest case is created by the bundle's own honesty</t>
  </si>
  <si>
    <t xml:space="preserve">S32, S35, S13</t>
  </si>
  <si>
    <t xml:space="preserve">Support and limitation</t>
  </si>
  <si>
    <t xml:space="preserve">Explanations people find useful are contrastive (Miller), so bundles keep the conclusions they rejected; this creates a grounding risk the check must handle…</t>
  </si>
  <si>
    <t xml:space="preserve">Threat to validity: the grounding check resolves identifiers, not sentences</t>
  </si>
  <si>
    <t xml:space="preserve">S34, S35, S36</t>
  </si>
  <si>
    <t xml:space="preserve">Attribution research judges whether each sentence is supported (Rashkin et al.; Gao et al.); EM Fusion's check resolves identifiers only, so its catch rate is a lower bound…</t>
  </si>
  <si>
    <t xml:space="preserve">A baseline that cannot flatter itself, and the two jobs that shape it</t>
  </si>
  <si>
    <t xml:space="preserve">S30, S37</t>
  </si>
  <si>
    <t xml:space="preserve">If explanations raise acceptance regardless of correctness (Bansal et al.), the question is whether a model adds anything over an honest mechanical summary…</t>
  </si>
  <si>
    <t xml:space="preserve">The provider is not deterministic at temperature 0 with a fixed seed; Raising N from one to three…</t>
  </si>
  <si>
    <t xml:space="preserve">2.4 (and Ch3)</t>
  </si>
  <si>
    <t xml:space="preserve">Repeated LLM requests vary even at temperature 0 (Ouyang et al.), so each bundle was generated three times…</t>
  </si>
  <si>
    <t xml:space="preserve">Evaluation design: withdrawing the task-based user study, retaining blind rubric scoring</t>
  </si>
  <si>
    <t xml:space="preserve">S33, S31</t>
  </si>
  <si>
    <t xml:space="preserve">2.4 / 2.6</t>
  </si>
  <si>
    <t xml:space="preserve">Interpretability can be evaluated at functional, human and application levels (Doshi-Velez and Kim); this study covers the first two…</t>
  </si>
  <si>
    <t xml:space="preserve">Detection latency: defining a delay in a system that has no moment of noticing</t>
  </si>
  <si>
    <t xml:space="preserve">2.3 (and Ch3)</t>
  </si>
  <si>
    <t xml:space="preserve">Evaluation protocols can flatter detectors when metrics are adjusted after the fact (Kim et al.), so latency was defined before measurement…</t>
  </si>
  <si>
    <t xml:space="preserve">Two failure categories, because two fallbacks must not become one</t>
  </si>
  <si>
    <t xml:space="preserve">S39, S43</t>
  </si>
  <si>
    <t xml:space="preserve">Defence guidance asks for reliability and governability (MoD, 2024; NATO, 2021); EM Fusion makes both concrete as separate, recorded fallbacks…</t>
  </si>
  <si>
    <t xml:space="preserve">Storage substrate: why PostgreSQL/PostGIS and not a data lakehouse</t>
  </si>
  <si>
    <t xml:space="preserve">None needed</t>
  </si>
  <si>
    <t xml:space="preserve">Chapter 4, not the review</t>
  </si>
  <si>
    <t xml:space="preserve">Ch4</t>
  </si>
  <si>
    <t xml:space="preserve">Technology choice: justify in Design with PostGIS documentation and your own measurements, not in the literature review.</t>
  </si>
  <si>
    <t xml:space="preserve">Identifier pseudonymisation placed at the DAL</t>
  </si>
  <si>
    <t xml:space="preserve">Find a UK GDPR / ICO source</t>
  </si>
  <si>
    <t xml:space="preserve">Chapter 3 ethics</t>
  </si>
  <si>
    <t xml:space="preserve">Ch3</t>
  </si>
  <si>
    <t xml:space="preserve">Belongs in ethics and legal issues; source it from ICO guidance rather than the literature review.</t>
  </si>
  <si>
    <t xml:space="preserve">Use it for</t>
  </si>
  <si>
    <t xml:space="preserve">Hevner, A.R., March, S.T., Park, J. and Ram, S. (2004) 'Design science in information systems research', MIS Quarterly, 28(1), pp. 75–105.</t>
  </si>
  <si>
    <t xml:space="preserve">Frames the project as design science: build an artefact, then evaluate it.</t>
  </si>
  <si>
    <t xml:space="preserve">Peffers, K., Tuunanen, T., Rothenberger, M.A. and Chatterjee, S. (2007) 'A design science research methodology for information systems research', Journal of Management Information Systems, 24(3), pp. 45–77.</t>
  </si>
  <si>
    <t xml:space="preserve">A step-by-step design science process to structure the methodology section.</t>
  </si>
  <si>
    <t xml:space="preserve">Wohlin, C. et al. (2012) Experimentation in Software Engineering. Berlin: Springer.</t>
  </si>
  <si>
    <t xml:space="preserve">Threats-to-validity categories (conclusion, internal, construct, external) for organising your many recorded threats.</t>
  </si>
  <si>
    <t xml:space="preserve">Cohen, J. (1968) 'Weighted kappa: nominal scale agreement with provision for scaled disagreement or partial credit', Psychological Bulletin, 70(4), pp. 213–220.</t>
  </si>
  <si>
    <t xml:space="preserve">Your quadratic-weighted κ between the two raters.</t>
  </si>
  <si>
    <t xml:space="preserve">McHugh, M.L. (2012) 'Interrater reliability: the kappa statistic', Biochemia Medica, 22(3), pp. 276–282.</t>
  </si>
  <si>
    <t xml:space="preserve">Interpreting κ values, with the caveats about agreement bands.</t>
  </si>
  <si>
    <t xml:space="preserve">Zheng, L. et al. (2023) 'Judging LLM-as-a-judge with MT-Bench and Chatbot Arena', in Advances in Neural Information Processing Systems 36 (Datasets and Benchmarks).</t>
  </si>
  <si>
    <t xml:space="preserve">Why human raters rather than an LLM judge: position, verbosity and self-preference biases.</t>
  </si>
  <si>
    <t xml:space="preserve">Jia, Y. and Harman, M. (2011) 'An analysis and survey of the development of mutation testing', IEEE Transactions on Software Engineering, 37(5), pp. 649–678.</t>
  </si>
  <si>
    <t xml:space="preserve">Your mutation passes (Chapter 3 or 5).</t>
  </si>
  <si>
    <t xml:space="preserve">Hart, S.G. and Staveland, L.E. (1988) 'Development of NASA-TLX (Task Load Index): results of empirical and theoretical research', Advances in Psychology, 52, pp. 139–183.</t>
  </si>
  <si>
    <t xml:space="preserve">Only if you discuss the withdrawn user study and what it would have measured.</t>
  </si>
  <si>
    <t xml:space="preserve">Log each search behind your gap statement, so you can say exactly what you searched if an examiner asks.</t>
  </si>
  <si>
    <t xml:space="preserve">Date</t>
  </si>
  <si>
    <t xml:space="preserve">Database</t>
  </si>
  <si>
    <t xml:space="preserve">Query</t>
  </si>
  <si>
    <t xml:space="preserve">Results</t>
  </si>
  <si>
    <t xml:space="preserve">Relevant hits</t>
  </si>
  <si>
    <t xml:space="preserve">What they show / notes</t>
  </si>
  <si>
    <t xml:space="preserve">(example) 2026-10-12</t>
  </si>
  <si>
    <t xml:space="preserve">Google Scholar</t>
  </si>
  <si>
    <t xml:space="preserve">"ADS-B" "GNSS interference" detection</t>
  </si>
  <si>
    <t xml:space="preserve">(e.g. 1,240)</t>
  </si>
  <si>
    <t xml:space="preserve">(e.g. 6)</t>
  </si>
  <si>
    <t xml:space="preserve">(example) Most use NIC/NACp; none pair detection with generated explanations.</t>
  </si>
  <si>
    <t xml:space="preserve">IEEE Xplore</t>
  </si>
  <si>
    <t xml:space="preserve">"data fusion" "large language model" "situational awareness"</t>
  </si>
  <si>
    <t xml:space="preserve">ACM Digital Library</t>
  </si>
  <si>
    <t xml:space="preserve">"hypothesis generation" LLM "decision support" grounding OR attribution</t>
  </si>
  <si>
    <t xml:space="preserve">Scopus (via university)</t>
  </si>
  <si>
    <t xml:space="preserve">"electromagnetic" "situational awareness" software OR prototype</t>
  </si>
  <si>
    <t xml:space="preserve">"canonical data model" "data fusion" provenance</t>
  </si>
  <si>
    <t xml:space="preserve">"evidence-grounded" OR "citation" LLM defence OR military "decision support"</t>
  </si>
</sst>
</file>

<file path=xl/styles.xml><?xml version="1.0" encoding="utf-8"?>
<styleSheet xmlns="http://schemas.openxmlformats.org/spreadsheetml/2006/main">
  <numFmts count="3">
    <numFmt numFmtId="164" formatCode="General"/>
    <numFmt numFmtId="165" formatCode="General"/>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4"/>
      <color rgb="FF2F3B4C"/>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8A5A00"/>
      <name val="Arial"/>
      <family val="0"/>
      <charset val="1"/>
    </font>
    <font>
      <b val="true"/>
      <sz val="10"/>
      <color rgb="FF1E6B3A"/>
      <name val="Arial"/>
      <family val="0"/>
      <charset val="1"/>
    </font>
    <font>
      <u val="single"/>
      <sz val="10"/>
      <color rgb="FF1F4E99"/>
      <name val="Arial"/>
      <family val="0"/>
      <charset val="1"/>
    </font>
  </fonts>
  <fills count="6">
    <fill>
      <patternFill patternType="none"/>
    </fill>
    <fill>
      <patternFill patternType="gray125"/>
    </fill>
    <fill>
      <patternFill patternType="solid">
        <fgColor rgb="FF2F3B4C"/>
        <bgColor rgb="FF333300"/>
      </patternFill>
    </fill>
    <fill>
      <patternFill patternType="solid">
        <fgColor rgb="FFFFF4C2"/>
        <bgColor rgb="FFFFFF99"/>
      </patternFill>
    </fill>
    <fill>
      <patternFill patternType="solid">
        <fgColor rgb="FFEDEFF2"/>
        <bgColor rgb="FFE3ECF7"/>
      </patternFill>
    </fill>
    <fill>
      <patternFill patternType="solid">
        <fgColor rgb="FFE3ECF7"/>
        <bgColor rgb="FFEDEFF2"/>
      </patternFill>
    </fill>
  </fills>
  <borders count="2">
    <border diagonalUp="false" diagonalDown="false">
      <left/>
      <right/>
      <top/>
      <bottom/>
      <diagonal/>
    </border>
    <border diagonalUp="false" diagonalDown="false">
      <left style="thin">
        <color rgb="FFC9CED6"/>
      </left>
      <right style="thin">
        <color rgb="FFC9CED6"/>
      </right>
      <top style="thin">
        <color rgb="FFC9CED6"/>
      </top>
      <bottom style="thin">
        <color rgb="FFC9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true" applyProtection="false">
      <alignment horizontal="center" vertical="bottom" textRotation="0" wrapText="false" indent="0" shrinkToFit="false"/>
      <protection locked="true" hidden="false"/>
    </xf>
    <xf numFmtId="166" fontId="6" fillId="4"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F3B4C"/>
          <bgColor rgb="FF000000"/>
        </patternFill>
      </fill>
    </dxf>
    <dxf>
      <fill>
        <patternFill patternType="solid">
          <bgColor rgb="FF000000"/>
        </patternFill>
      </fill>
    </dxf>
    <dxf>
      <fill>
        <patternFill patternType="solid">
          <fgColor rgb="FFFFFFFF"/>
          <bgColor rgb="FF000000"/>
        </patternFill>
      </fill>
    </dxf>
    <dxf>
      <fill>
        <patternFill patternType="solid">
          <fgColor rgb="FFE3ECF7"/>
          <bgColor rgb="FF000000"/>
        </patternFill>
      </fill>
    </dxf>
    <dxf>
      <fill>
        <patternFill patternType="solid">
          <fgColor rgb="FF1E6B3A"/>
          <bgColor rgb="FF000000"/>
        </patternFill>
      </fill>
    </dxf>
    <dxf>
      <fill>
        <patternFill patternType="solid">
          <fgColor rgb="FF8A5A00"/>
          <bgColor rgb="FF000000"/>
        </patternFill>
      </fill>
    </dxf>
    <dxf>
      <fill>
        <patternFill patternType="solid">
          <fgColor rgb="FFFFF4C2"/>
          <bgColor rgb="FF000000"/>
        </patternFill>
      </fill>
    </dxf>
    <dxf>
      <fill>
        <patternFill patternType="solid">
          <fgColor rgb="FF1F4E99"/>
          <bgColor rgb="FF000000"/>
        </patternFill>
      </fill>
    </dxf>
  </dxfs>
  <colors>
    <indexedColors>
      <rgbColor rgb="FF000000"/>
      <rgbColor rgb="FFFFFFFF"/>
      <rgbColor rgb="FFFF0000"/>
      <rgbColor rgb="FF00FF00"/>
      <rgbColor rgb="FF0000FF"/>
      <rgbColor rgb="FFFFFF00"/>
      <rgbColor rgb="FFFF00FF"/>
      <rgbColor rgb="FF00FFFF"/>
      <rgbColor rgb="FF800000"/>
      <rgbColor rgb="FF1E6B3A"/>
      <rgbColor rgb="FF000080"/>
      <rgbColor rgb="FF8A5A00"/>
      <rgbColor rgb="FF800080"/>
      <rgbColor rgb="FF008080"/>
      <rgbColor rgb="FFC0C0C0"/>
      <rgbColor rgb="FF808080"/>
      <rgbColor rgb="FF9999FF"/>
      <rgbColor rgb="FF993366"/>
      <rgbColor rgb="FFFFF4C2"/>
      <rgbColor rgb="FFE3ECF7"/>
      <rgbColor rgb="FF660066"/>
      <rgbColor rgb="FFFF8080"/>
      <rgbColor rgb="FF0066CC"/>
      <rgbColor rgb="FFC9CED6"/>
      <rgbColor rgb="FF000080"/>
      <rgbColor rgb="FFFF00FF"/>
      <rgbColor rgb="FFFFFF00"/>
      <rgbColor rgb="FF00FFFF"/>
      <rgbColor rgb="FF800080"/>
      <rgbColor rgb="FF800000"/>
      <rgbColor rgb="FF008080"/>
      <rgbColor rgb="FF0000FF"/>
      <rgbColor rgb="FF00CCFF"/>
      <rgbColor rgb="FFEDEFF2"/>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99"/>
      <rgbColor rgb="FF2F3B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cs.ox.ac.uk/publications/publication15799-abstract.html" TargetMode="External"/><Relationship Id="rId2" Type="http://schemas.openxmlformats.org/officeDocument/2006/relationships/hyperlink" Target="https://digitalcollection.zhaw.ch/handle/11475/26900" TargetMode="External"/><Relationship Id="rId3" Type="http://schemas.openxmlformats.org/officeDocument/2006/relationships/hyperlink" Target="https://web.stanford.edu/group/scpnt/gpslab/pubs/papers/Liu_ION_ITM_2022_ADSB.pdf" TargetMode="External"/><Relationship Id="rId4" Type="http://schemas.openxmlformats.org/officeDocument/2006/relationships/hyperlink" Target="https://opensky-network.org/" TargetMode="External"/><Relationship Id="rId5" Type="http://schemas.openxmlformats.org/officeDocument/2006/relationships/hyperlink" Target="https://www.gov.uk/government/publications/the-strategic-defence-review-2025-making-britain-safer-secure-at-home-strong-abroad" TargetMode="External"/><Relationship Id="rId6" Type="http://schemas.openxmlformats.org/officeDocument/2006/relationships/hyperlink" Target="https://www.w3.org/TR/prov-dm/" TargetMode="External"/><Relationship Id="rId7" Type="http://schemas.openxmlformats.org/officeDocument/2006/relationships/hyperlink" Target="https://arxiv.org/abs/2009.13807v3" TargetMode="External"/><Relationship Id="rId8" Type="http://schemas.openxmlformats.org/officeDocument/2006/relationships/hyperlink" Target="https://ojs.aaai.org/index.php/AAAI/article/view/20680" TargetMode="External"/><Relationship Id="rId9" Type="http://schemas.openxmlformats.org/officeDocument/2006/relationships/hyperlink" Target="https://arxiv.org/abs/2308.02828" TargetMode="External"/><Relationship Id="rId10" Type="http://schemas.openxmlformats.org/officeDocument/2006/relationships/hyperlink" Target="https://www.gov.uk/government/publications/jsp-936-dependable-artificial-intelligence-ai-in-defence-part-1-directive" TargetMode="External"/><Relationship Id="rId1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30"/>
    <col collapsed="false" customWidth="true" hidden="false" outlineLevel="0" max="4" min="4" style="0" width="10"/>
    <col collapsed="false" customWidth="true" hidden="false" outlineLevel="0" max="5" min="5" style="0" width="11"/>
    <col collapsed="false" customWidth="true" hidden="false" outlineLevel="0" max="6" min="6" style="0" width="52"/>
    <col collapsed="false" customWidth="true" hidden="false" outlineLevel="0" max="9" min="7" style="0" width="9"/>
    <col collapsed="false" customWidth="true" hidden="false" outlineLevel="0" max="13" min="10"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7.75" hidden="false" customHeight="true" outlineLevel="0" collapsed="false">
      <c r="A5" s="4" t="s">
        <v>3</v>
      </c>
      <c r="B5" s="4"/>
      <c r="C5" s="4"/>
      <c r="D5" s="4"/>
      <c r="E5" s="4"/>
      <c r="F5" s="4"/>
      <c r="G5" s="4"/>
      <c r="H5" s="4"/>
      <c r="I5" s="4"/>
      <c r="J5" s="4"/>
      <c r="K5" s="4"/>
    </row>
    <row r="6" customFormat="false" ht="27.75" hidden="false" customHeight="true" outlineLevel="0" collapsed="false">
      <c r="A6" s="4" t="s">
        <v>4</v>
      </c>
      <c r="B6" s="4"/>
      <c r="C6" s="4"/>
      <c r="D6" s="4"/>
      <c r="E6" s="4"/>
      <c r="F6" s="4"/>
      <c r="G6" s="4"/>
      <c r="H6" s="4"/>
      <c r="I6" s="4"/>
      <c r="J6" s="4"/>
      <c r="K6" s="4"/>
    </row>
    <row r="7" customFormat="false" ht="27.75" hidden="false" customHeight="true" outlineLevel="0" collapsed="false">
      <c r="A7" s="4" t="s">
        <v>5</v>
      </c>
      <c r="B7" s="4"/>
      <c r="C7" s="4"/>
      <c r="D7" s="4"/>
      <c r="E7" s="4"/>
      <c r="F7" s="4"/>
      <c r="G7" s="4"/>
      <c r="H7" s="4"/>
      <c r="I7" s="4"/>
      <c r="J7" s="4"/>
      <c r="K7" s="4"/>
    </row>
    <row r="8" customFormat="false" ht="27.75" hidden="false" customHeight="true" outlineLevel="0" collapsed="false">
      <c r="A8" s="4" t="s">
        <v>6</v>
      </c>
      <c r="B8" s="4"/>
      <c r="C8" s="4"/>
      <c r="D8" s="4"/>
      <c r="E8" s="4"/>
      <c r="F8" s="4"/>
      <c r="G8" s="4"/>
      <c r="H8" s="4"/>
      <c r="I8" s="4"/>
      <c r="J8" s="4"/>
      <c r="K8" s="4"/>
    </row>
    <row r="10" customFormat="false" ht="23.85" hidden="false" customHeight="false" outlineLevel="0" collapsed="false">
      <c r="A10" s="5" t="s">
        <v>7</v>
      </c>
      <c r="B10" s="5" t="s">
        <v>8</v>
      </c>
      <c r="C10" s="5" t="s">
        <v>9</v>
      </c>
      <c r="D10" s="5" t="s">
        <v>10</v>
      </c>
      <c r="E10" s="5" t="s">
        <v>11</v>
      </c>
      <c r="F10" s="5" t="s">
        <v>12</v>
      </c>
      <c r="G10" s="5" t="s">
        <v>13</v>
      </c>
      <c r="H10" s="5" t="s">
        <v>14</v>
      </c>
      <c r="I10" s="5" t="s">
        <v>15</v>
      </c>
      <c r="J10" s="5" t="s">
        <v>16</v>
      </c>
      <c r="K10" s="5" t="s">
        <v>17</v>
      </c>
      <c r="L10" s="5" t="s">
        <v>18</v>
      </c>
      <c r="M10" s="5" t="s">
        <v>19</v>
      </c>
    </row>
    <row r="11" customFormat="false" ht="61.5" hidden="false" customHeight="true" outlineLevel="0" collapsed="false">
      <c r="A11" s="6" t="s">
        <v>20</v>
      </c>
      <c r="B11" s="7" t="s">
        <v>21</v>
      </c>
      <c r="C11" s="7" t="s">
        <v>22</v>
      </c>
      <c r="D11" s="7" t="n">
        <v>350</v>
      </c>
      <c r="E11" s="7" t="s">
        <v>23</v>
      </c>
      <c r="F11" s="7" t="s">
        <v>24</v>
      </c>
      <c r="G11" s="6" t="n">
        <v>5</v>
      </c>
      <c r="H11" s="8" t="n">
        <f aca="false">COUNTIF(Matrix!$B:$B,$A11)</f>
        <v>9</v>
      </c>
      <c r="I11" s="8" t="n">
        <f aca="false">COUNTIFS(Matrix!$B:$B,$A11,Matrix!$C:$C,"Core")</f>
        <v>3</v>
      </c>
      <c r="J11" s="8" t="n">
        <f aca="false">COUNTIFS(Matrix!$B:$B,$A11,Matrix!$N:$N,"Read")+COUNTIFS(Matrix!$B:$B,$A11,Matrix!$N:$N,"Cited")</f>
        <v>0</v>
      </c>
      <c r="K11" s="9" t="n">
        <v>0</v>
      </c>
      <c r="L11" s="8" t="n">
        <f aca="false">D11-K11</f>
        <v>350</v>
      </c>
      <c r="M11" s="10" t="n">
        <f aca="false">IFERROR(J11/H11,0)</f>
        <v>0</v>
      </c>
    </row>
    <row r="12" customFormat="false" ht="61.5" hidden="false" customHeight="true" outlineLevel="0" collapsed="false">
      <c r="A12" s="6" t="s">
        <v>25</v>
      </c>
      <c r="B12" s="7" t="s">
        <v>26</v>
      </c>
      <c r="C12" s="7" t="s">
        <v>27</v>
      </c>
      <c r="D12" s="7" t="n">
        <v>400</v>
      </c>
      <c r="E12" s="7" t="s">
        <v>28</v>
      </c>
      <c r="F12" s="7" t="s">
        <v>29</v>
      </c>
      <c r="G12" s="6" t="n">
        <v>3</v>
      </c>
      <c r="H12" s="8" t="n">
        <f aca="false">COUNTIF(Matrix!$B:$B,$A12)</f>
        <v>10</v>
      </c>
      <c r="I12" s="8" t="n">
        <f aca="false">COUNTIFS(Matrix!$B:$B,$A12,Matrix!$C:$C,"Core")</f>
        <v>5</v>
      </c>
      <c r="J12" s="8" t="n">
        <f aca="false">COUNTIFS(Matrix!$B:$B,$A12,Matrix!$N:$N,"Read")+COUNTIFS(Matrix!$B:$B,$A12,Matrix!$N:$N,"Cited")</f>
        <v>0</v>
      </c>
      <c r="K12" s="9" t="n">
        <v>0</v>
      </c>
      <c r="L12" s="8" t="n">
        <f aca="false">D12-K12</f>
        <v>400</v>
      </c>
      <c r="M12" s="10" t="n">
        <f aca="false">IFERROR(J12/H12,0)</f>
        <v>0</v>
      </c>
    </row>
    <row r="13" customFormat="false" ht="61.5" hidden="false" customHeight="true" outlineLevel="0" collapsed="false">
      <c r="A13" s="6" t="s">
        <v>30</v>
      </c>
      <c r="B13" s="7" t="s">
        <v>31</v>
      </c>
      <c r="C13" s="7" t="s">
        <v>32</v>
      </c>
      <c r="D13" s="7" t="n">
        <v>400</v>
      </c>
      <c r="E13" s="7" t="s">
        <v>33</v>
      </c>
      <c r="F13" s="7" t="s">
        <v>34</v>
      </c>
      <c r="G13" s="6" t="n">
        <v>1</v>
      </c>
      <c r="H13" s="8" t="n">
        <f aca="false">COUNTIF(Matrix!$B:$B,$A13)</f>
        <v>6</v>
      </c>
      <c r="I13" s="8" t="n">
        <f aca="false">COUNTIFS(Matrix!$B:$B,$A13,Matrix!$C:$C,"Core")</f>
        <v>3</v>
      </c>
      <c r="J13" s="8" t="n">
        <f aca="false">COUNTIFS(Matrix!$B:$B,$A13,Matrix!$N:$N,"Read")+COUNTIFS(Matrix!$B:$B,$A13,Matrix!$N:$N,"Cited")</f>
        <v>0</v>
      </c>
      <c r="K13" s="9" t="n">
        <v>0</v>
      </c>
      <c r="L13" s="8" t="n">
        <f aca="false">D13-K13</f>
        <v>400</v>
      </c>
      <c r="M13" s="10" t="n">
        <f aca="false">IFERROR(J13/H13,0)</f>
        <v>0</v>
      </c>
    </row>
    <row r="14" customFormat="false" ht="61.5" hidden="false" customHeight="true" outlineLevel="0" collapsed="false">
      <c r="A14" s="6" t="s">
        <v>35</v>
      </c>
      <c r="B14" s="7" t="s">
        <v>36</v>
      </c>
      <c r="C14" s="7" t="s">
        <v>37</v>
      </c>
      <c r="D14" s="7" t="n">
        <v>450</v>
      </c>
      <c r="E14" s="7" t="s">
        <v>38</v>
      </c>
      <c r="F14" s="7" t="s">
        <v>39</v>
      </c>
      <c r="G14" s="6" t="n">
        <v>2</v>
      </c>
      <c r="H14" s="8" t="n">
        <f aca="false">COUNTIF(Matrix!$B:$B,$A14)</f>
        <v>13</v>
      </c>
      <c r="I14" s="8" t="n">
        <f aca="false">COUNTIFS(Matrix!$B:$B,$A14,Matrix!$C:$C,"Core")</f>
        <v>7</v>
      </c>
      <c r="J14" s="8" t="n">
        <f aca="false">COUNTIFS(Matrix!$B:$B,$A14,Matrix!$N:$N,"Read")+COUNTIFS(Matrix!$B:$B,$A14,Matrix!$N:$N,"Cited")</f>
        <v>0</v>
      </c>
      <c r="K14" s="9" t="n">
        <v>0</v>
      </c>
      <c r="L14" s="8" t="n">
        <f aca="false">D14-K14</f>
        <v>450</v>
      </c>
      <c r="M14" s="10" t="n">
        <f aca="false">IFERROR(J14/H14,0)</f>
        <v>0</v>
      </c>
    </row>
    <row r="15" customFormat="false" ht="61.5" hidden="false" customHeight="true" outlineLevel="0" collapsed="false">
      <c r="A15" s="6" t="s">
        <v>40</v>
      </c>
      <c r="B15" s="7" t="s">
        <v>41</v>
      </c>
      <c r="C15" s="7" t="s">
        <v>42</v>
      </c>
      <c r="D15" s="7" t="n">
        <v>250</v>
      </c>
      <c r="E15" s="7" t="s">
        <v>43</v>
      </c>
      <c r="F15" s="7" t="s">
        <v>44</v>
      </c>
      <c r="G15" s="6" t="n">
        <v>4</v>
      </c>
      <c r="H15" s="8" t="n">
        <f aca="false">COUNTIF(Matrix!$B:$B,$A15)</f>
        <v>7</v>
      </c>
      <c r="I15" s="8" t="n">
        <f aca="false">COUNTIFS(Matrix!$B:$B,$A15,Matrix!$C:$C,"Core")</f>
        <v>3</v>
      </c>
      <c r="J15" s="8" t="n">
        <f aca="false">COUNTIFS(Matrix!$B:$B,$A15,Matrix!$N:$N,"Read")+COUNTIFS(Matrix!$B:$B,$A15,Matrix!$N:$N,"Cited")</f>
        <v>0</v>
      </c>
      <c r="K15" s="9" t="n">
        <v>0</v>
      </c>
      <c r="L15" s="8" t="n">
        <f aca="false">D15-K15</f>
        <v>250</v>
      </c>
      <c r="M15" s="10" t="n">
        <f aca="false">IFERROR(J15/H15,0)</f>
        <v>0</v>
      </c>
    </row>
    <row r="16" customFormat="false" ht="61.5" hidden="false" customHeight="true" outlineLevel="0" collapsed="false">
      <c r="A16" s="6" t="s">
        <v>45</v>
      </c>
      <c r="B16" s="7" t="s">
        <v>46</v>
      </c>
      <c r="C16" s="7" t="s">
        <v>47</v>
      </c>
      <c r="D16" s="7" t="n">
        <v>150</v>
      </c>
      <c r="E16" s="7" t="s">
        <v>48</v>
      </c>
      <c r="F16" s="7" t="s">
        <v>49</v>
      </c>
      <c r="G16" s="6" t="n">
        <v>6</v>
      </c>
      <c r="H16" s="8" t="n">
        <f aca="false">COUNTIF(Matrix!$B:$B,$A16)</f>
        <v>0</v>
      </c>
      <c r="I16" s="8" t="n">
        <f aca="false">COUNTIFS(Matrix!$B:$B,$A16,Matrix!$C:$C,"Core")</f>
        <v>0</v>
      </c>
      <c r="J16" s="8" t="n">
        <f aca="false">COUNTIFS(Matrix!$B:$B,$A16,Matrix!$N:$N,"Read")+COUNTIFS(Matrix!$B:$B,$A16,Matrix!$N:$N,"Cited")</f>
        <v>0</v>
      </c>
      <c r="K16" s="9" t="n">
        <v>0</v>
      </c>
      <c r="L16" s="8" t="n">
        <f aca="false">D16-K16</f>
        <v>150</v>
      </c>
      <c r="M16" s="10" t="n">
        <f aca="false">IFERROR(J16/H16,0)</f>
        <v>0</v>
      </c>
    </row>
    <row r="17" customFormat="false" ht="15" hidden="false" customHeight="false" outlineLevel="0" collapsed="false">
      <c r="A17" s="11"/>
      <c r="B17" s="12" t="s">
        <v>50</v>
      </c>
      <c r="C17" s="11"/>
      <c r="D17" s="13" t="n">
        <f aca="false">SUM(D11:D16)</f>
        <v>2000</v>
      </c>
      <c r="E17" s="13"/>
      <c r="F17" s="13"/>
      <c r="G17" s="13"/>
      <c r="H17" s="13" t="n">
        <f aca="false">SUM(H11:H16)</f>
        <v>45</v>
      </c>
      <c r="I17" s="13" t="n">
        <f aca="false">SUM(I11:I16)</f>
        <v>21</v>
      </c>
      <c r="J17" s="13" t="n">
        <f aca="false">SUM(J11:J16)</f>
        <v>0</v>
      </c>
      <c r="K17" s="13" t="n">
        <f aca="false">SUM(K11:K16)</f>
        <v>0</v>
      </c>
      <c r="L17" s="13" t="n">
        <f aca="false">SUM(L11:L16)</f>
        <v>2000</v>
      </c>
      <c r="M17" s="14" t="n">
        <f aca="false">IFERROR(J17/H17,0)</f>
        <v>0</v>
      </c>
    </row>
    <row r="19" customFormat="false" ht="15" hidden="false" customHeight="false" outlineLevel="0" collapsed="false">
      <c r="A19" s="3" t="s">
        <v>51</v>
      </c>
    </row>
    <row r="20" customFormat="false" ht="60" hidden="false" customHeight="true" outlineLevel="0" collapsed="false">
      <c r="A20" s="4" t="s">
        <v>52</v>
      </c>
      <c r="B20" s="4"/>
      <c r="C20" s="4"/>
      <c r="D20" s="4"/>
      <c r="E20" s="4"/>
      <c r="F20" s="4"/>
      <c r="G20" s="4"/>
      <c r="H20" s="4"/>
      <c r="I20" s="4"/>
      <c r="J20" s="4"/>
      <c r="K20" s="4"/>
    </row>
  </sheetData>
  <mergeCells count="5">
    <mergeCell ref="A5:K5"/>
    <mergeCell ref="A6:K6"/>
    <mergeCell ref="A7:K7"/>
    <mergeCell ref="A8:K8"/>
    <mergeCell ref="A20:K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11"/>
    <col collapsed="false" customWidth="true" hidden="false" outlineLevel="0" max="4" min="4" style="0" width="48"/>
    <col collapsed="false" customWidth="true" hidden="false" outlineLevel="0" max="5" min="5" style="0" width="7"/>
    <col collapsed="false" customWidth="true" hidden="false" outlineLevel="0" max="6" min="6" style="0" width="13"/>
    <col collapsed="false" customWidth="true" hidden="false" outlineLevel="0" max="7" min="7" style="0" width="15"/>
    <col collapsed="false" customWidth="true" hidden="false" outlineLevel="0" max="8" min="8" style="0" width="40"/>
    <col collapsed="false" customWidth="true" hidden="false" outlineLevel="0" max="9" min="9" style="0" width="26"/>
    <col collapsed="false" customWidth="true" hidden="false" outlineLevel="0" max="10" min="10" style="0" width="32"/>
    <col collapsed="false" customWidth="true" hidden="false" outlineLevel="0" max="11" min="11" style="0" width="48"/>
    <col collapsed="false" customWidth="true" hidden="false" outlineLevel="0" max="12" min="12" style="0" width="36"/>
    <col collapsed="false" customWidth="true" hidden="false" outlineLevel="0" max="13" min="13" style="0" width="10"/>
    <col collapsed="false" customWidth="true" hidden="false" outlineLevel="0" max="14" min="14" style="0" width="11"/>
    <col collapsed="false" customWidth="true" hidden="false" outlineLevel="0" max="15" min="15" style="0" width="32"/>
    <col collapsed="false" customWidth="true" hidden="false" outlineLevel="0" max="16" min="16" style="0" width="22"/>
  </cols>
  <sheetData>
    <row r="1" customFormat="false" ht="23.85" hidden="false" customHeight="false" outlineLevel="0" collapsed="false">
      <c r="A1" s="5" t="s">
        <v>53</v>
      </c>
      <c r="B1" s="5" t="s">
        <v>8</v>
      </c>
      <c r="C1" s="5" t="s">
        <v>54</v>
      </c>
      <c r="D1" s="5" t="s">
        <v>55</v>
      </c>
      <c r="E1" s="5" t="s">
        <v>56</v>
      </c>
      <c r="F1" s="5" t="s">
        <v>57</v>
      </c>
      <c r="G1" s="5" t="s">
        <v>58</v>
      </c>
      <c r="H1" s="5" t="s">
        <v>59</v>
      </c>
      <c r="I1" s="5" t="s">
        <v>60</v>
      </c>
      <c r="J1" s="5" t="s">
        <v>61</v>
      </c>
      <c r="K1" s="5" t="s">
        <v>62</v>
      </c>
      <c r="L1" s="5" t="s">
        <v>63</v>
      </c>
      <c r="M1" s="5" t="s">
        <v>64</v>
      </c>
      <c r="N1" s="5" t="s">
        <v>65</v>
      </c>
      <c r="O1" s="5" t="s">
        <v>66</v>
      </c>
      <c r="P1" s="5" t="s">
        <v>67</v>
      </c>
    </row>
    <row r="2" customFormat="false" ht="57.45" hidden="false" customHeight="false" outlineLevel="0" collapsed="false">
      <c r="A2" s="6" t="s">
        <v>68</v>
      </c>
      <c r="B2" s="6" t="s">
        <v>20</v>
      </c>
      <c r="C2" s="15" t="s">
        <v>69</v>
      </c>
      <c r="D2" s="7" t="s">
        <v>70</v>
      </c>
      <c r="E2" s="6" t="s">
        <v>71</v>
      </c>
      <c r="F2" s="7" t="s">
        <v>72</v>
      </c>
      <c r="G2" s="16" t="s">
        <v>73</v>
      </c>
      <c r="H2" s="7" t="s">
        <v>74</v>
      </c>
      <c r="I2" s="7" t="s">
        <v>75</v>
      </c>
      <c r="J2" s="7" t="s">
        <v>76</v>
      </c>
      <c r="K2" s="7" t="s">
        <v>77</v>
      </c>
      <c r="L2" s="7" t="s">
        <v>78</v>
      </c>
      <c r="M2" s="6" t="s">
        <v>23</v>
      </c>
      <c r="N2" s="17" t="s">
        <v>79</v>
      </c>
      <c r="O2" s="18"/>
      <c r="P2" s="7"/>
    </row>
    <row r="3" customFormat="false" ht="46.25" hidden="false" customHeight="false" outlineLevel="0" collapsed="false">
      <c r="A3" s="6" t="s">
        <v>80</v>
      </c>
      <c r="B3" s="6" t="s">
        <v>20</v>
      </c>
      <c r="C3" s="6" t="s">
        <v>81</v>
      </c>
      <c r="D3" s="7" t="s">
        <v>82</v>
      </c>
      <c r="E3" s="6" t="s">
        <v>83</v>
      </c>
      <c r="F3" s="7" t="s">
        <v>72</v>
      </c>
      <c r="G3" s="16" t="s">
        <v>73</v>
      </c>
      <c r="H3" s="7" t="s">
        <v>84</v>
      </c>
      <c r="I3" s="7" t="s">
        <v>85</v>
      </c>
      <c r="J3" s="7" t="s">
        <v>86</v>
      </c>
      <c r="K3" s="7" t="s">
        <v>87</v>
      </c>
      <c r="L3" s="7"/>
      <c r="M3" s="6" t="s">
        <v>23</v>
      </c>
      <c r="N3" s="17" t="s">
        <v>79</v>
      </c>
      <c r="O3" s="18"/>
      <c r="P3" s="7"/>
    </row>
    <row r="4" customFormat="false" ht="68.65" hidden="false" customHeight="false" outlineLevel="0" collapsed="false">
      <c r="A4" s="6" t="s">
        <v>88</v>
      </c>
      <c r="B4" s="6" t="s">
        <v>20</v>
      </c>
      <c r="C4" s="15" t="s">
        <v>69</v>
      </c>
      <c r="D4" s="7" t="s">
        <v>89</v>
      </c>
      <c r="E4" s="6" t="s">
        <v>90</v>
      </c>
      <c r="F4" s="7" t="s">
        <v>91</v>
      </c>
      <c r="G4" s="19" t="s">
        <v>92</v>
      </c>
      <c r="H4" s="7" t="s">
        <v>93</v>
      </c>
      <c r="I4" s="7" t="s">
        <v>94</v>
      </c>
      <c r="J4" s="7" t="s">
        <v>95</v>
      </c>
      <c r="K4" s="7" t="s">
        <v>96</v>
      </c>
      <c r="L4" s="7" t="s">
        <v>97</v>
      </c>
      <c r="M4" s="6" t="s">
        <v>98</v>
      </c>
      <c r="N4" s="17" t="s">
        <v>79</v>
      </c>
      <c r="O4" s="18"/>
      <c r="P4" s="20" t="s">
        <v>99</v>
      </c>
    </row>
    <row r="5" customFormat="false" ht="35.05" hidden="false" customHeight="false" outlineLevel="0" collapsed="false">
      <c r="A5" s="6" t="s">
        <v>100</v>
      </c>
      <c r="B5" s="6" t="s">
        <v>20</v>
      </c>
      <c r="C5" s="6" t="s">
        <v>101</v>
      </c>
      <c r="D5" s="7" t="s">
        <v>102</v>
      </c>
      <c r="E5" s="6" t="s">
        <v>103</v>
      </c>
      <c r="F5" s="7" t="s">
        <v>91</v>
      </c>
      <c r="G5" s="19" t="s">
        <v>104</v>
      </c>
      <c r="H5" s="7" t="s">
        <v>105</v>
      </c>
      <c r="I5" s="7" t="s">
        <v>106</v>
      </c>
      <c r="J5" s="7" t="s">
        <v>107</v>
      </c>
      <c r="K5" s="7" t="s">
        <v>108</v>
      </c>
      <c r="L5" s="7"/>
      <c r="M5" s="6" t="s">
        <v>23</v>
      </c>
      <c r="N5" s="17" t="s">
        <v>79</v>
      </c>
      <c r="O5" s="18"/>
      <c r="P5" s="20" t="s">
        <v>109</v>
      </c>
    </row>
    <row r="6" customFormat="false" ht="68.65" hidden="false" customHeight="false" outlineLevel="0" collapsed="false">
      <c r="A6" s="6" t="s">
        <v>110</v>
      </c>
      <c r="B6" s="6" t="s">
        <v>20</v>
      </c>
      <c r="C6" s="15" t="s">
        <v>69</v>
      </c>
      <c r="D6" s="7" t="s">
        <v>111</v>
      </c>
      <c r="E6" s="6" t="s">
        <v>103</v>
      </c>
      <c r="F6" s="7" t="s">
        <v>91</v>
      </c>
      <c r="G6" s="19" t="s">
        <v>92</v>
      </c>
      <c r="H6" s="7" t="s">
        <v>112</v>
      </c>
      <c r="I6" s="7" t="s">
        <v>113</v>
      </c>
      <c r="J6" s="7" t="s">
        <v>114</v>
      </c>
      <c r="K6" s="7" t="s">
        <v>115</v>
      </c>
      <c r="L6" s="7" t="s">
        <v>116</v>
      </c>
      <c r="M6" s="6" t="s">
        <v>33</v>
      </c>
      <c r="N6" s="17" t="s">
        <v>79</v>
      </c>
      <c r="O6" s="18"/>
      <c r="P6" s="20" t="s">
        <v>117</v>
      </c>
    </row>
    <row r="7" customFormat="false" ht="57.45" hidden="false" customHeight="false" outlineLevel="0" collapsed="false">
      <c r="A7" s="6" t="s">
        <v>118</v>
      </c>
      <c r="B7" s="6" t="s">
        <v>20</v>
      </c>
      <c r="C7" s="6" t="s">
        <v>101</v>
      </c>
      <c r="D7" s="7" t="s">
        <v>119</v>
      </c>
      <c r="E7" s="6" t="s">
        <v>120</v>
      </c>
      <c r="F7" s="7" t="s">
        <v>91</v>
      </c>
      <c r="G7" s="16" t="s">
        <v>73</v>
      </c>
      <c r="H7" s="7" t="s">
        <v>121</v>
      </c>
      <c r="I7" s="7" t="s">
        <v>122</v>
      </c>
      <c r="J7" s="7" t="s">
        <v>123</v>
      </c>
      <c r="K7" s="7" t="s">
        <v>124</v>
      </c>
      <c r="L7" s="7" t="s">
        <v>125</v>
      </c>
      <c r="M7" s="6" t="s">
        <v>126</v>
      </c>
      <c r="N7" s="17" t="s">
        <v>79</v>
      </c>
      <c r="O7" s="18"/>
      <c r="P7" s="20" t="s">
        <v>127</v>
      </c>
    </row>
    <row r="8" customFormat="false" ht="35.05" hidden="false" customHeight="false" outlineLevel="0" collapsed="false">
      <c r="A8" s="6" t="s">
        <v>128</v>
      </c>
      <c r="B8" s="6" t="s">
        <v>20</v>
      </c>
      <c r="C8" s="6" t="s">
        <v>101</v>
      </c>
      <c r="D8" s="7" t="s">
        <v>129</v>
      </c>
      <c r="E8" s="6" t="s">
        <v>130</v>
      </c>
      <c r="F8" s="7" t="s">
        <v>131</v>
      </c>
      <c r="G8" s="19" t="s">
        <v>92</v>
      </c>
      <c r="H8" s="7" t="s">
        <v>132</v>
      </c>
      <c r="I8" s="7" t="s">
        <v>133</v>
      </c>
      <c r="J8" s="7" t="s">
        <v>134</v>
      </c>
      <c r="K8" s="7" t="s">
        <v>135</v>
      </c>
      <c r="L8" s="7"/>
      <c r="M8" s="6" t="s">
        <v>23</v>
      </c>
      <c r="N8" s="17" t="s">
        <v>79</v>
      </c>
      <c r="O8" s="18"/>
      <c r="P8" s="20" t="s">
        <v>136</v>
      </c>
    </row>
    <row r="9" customFormat="false" ht="35.05" hidden="false" customHeight="false" outlineLevel="0" collapsed="false">
      <c r="A9" s="6" t="s">
        <v>137</v>
      </c>
      <c r="B9" s="6" t="s">
        <v>20</v>
      </c>
      <c r="C9" s="6" t="s">
        <v>81</v>
      </c>
      <c r="D9" s="7" t="s">
        <v>138</v>
      </c>
      <c r="E9" s="6" t="s">
        <v>139</v>
      </c>
      <c r="F9" s="7" t="s">
        <v>131</v>
      </c>
      <c r="G9" s="16" t="s">
        <v>73</v>
      </c>
      <c r="H9" s="7" t="s">
        <v>140</v>
      </c>
      <c r="I9" s="7" t="s">
        <v>141</v>
      </c>
      <c r="J9" s="7" t="s">
        <v>142</v>
      </c>
      <c r="K9" s="7" t="s">
        <v>143</v>
      </c>
      <c r="L9" s="7"/>
      <c r="M9" s="6" t="s">
        <v>23</v>
      </c>
      <c r="N9" s="17" t="s">
        <v>79</v>
      </c>
      <c r="O9" s="18"/>
      <c r="P9" s="7"/>
    </row>
    <row r="10" customFormat="false" ht="35.05" hidden="false" customHeight="false" outlineLevel="0" collapsed="false">
      <c r="A10" s="6" t="s">
        <v>144</v>
      </c>
      <c r="B10" s="6" t="s">
        <v>20</v>
      </c>
      <c r="C10" s="6" t="s">
        <v>81</v>
      </c>
      <c r="D10" s="7" t="s">
        <v>145</v>
      </c>
      <c r="E10" s="6" t="s">
        <v>146</v>
      </c>
      <c r="F10" s="7" t="s">
        <v>131</v>
      </c>
      <c r="G10" s="16" t="s">
        <v>73</v>
      </c>
      <c r="H10" s="7" t="s">
        <v>147</v>
      </c>
      <c r="I10" s="7" t="s">
        <v>148</v>
      </c>
      <c r="J10" s="7" t="s">
        <v>149</v>
      </c>
      <c r="K10" s="7" t="s">
        <v>150</v>
      </c>
      <c r="L10" s="7"/>
      <c r="M10" s="6" t="s">
        <v>23</v>
      </c>
      <c r="N10" s="17" t="s">
        <v>79</v>
      </c>
      <c r="O10" s="18"/>
      <c r="P10" s="7"/>
    </row>
    <row r="11" customFormat="false" ht="46.25" hidden="false" customHeight="false" outlineLevel="0" collapsed="false">
      <c r="A11" s="6" t="s">
        <v>151</v>
      </c>
      <c r="B11" s="6" t="s">
        <v>25</v>
      </c>
      <c r="C11" s="15" t="s">
        <v>69</v>
      </c>
      <c r="D11" s="7" t="s">
        <v>152</v>
      </c>
      <c r="E11" s="6" t="s">
        <v>153</v>
      </c>
      <c r="F11" s="7" t="s">
        <v>72</v>
      </c>
      <c r="G11" s="16" t="s">
        <v>73</v>
      </c>
      <c r="H11" s="7" t="s">
        <v>154</v>
      </c>
      <c r="I11" s="7" t="s">
        <v>155</v>
      </c>
      <c r="J11" s="7" t="s">
        <v>156</v>
      </c>
      <c r="K11" s="7" t="s">
        <v>157</v>
      </c>
      <c r="L11" s="7" t="s">
        <v>158</v>
      </c>
      <c r="M11" s="6" t="s">
        <v>28</v>
      </c>
      <c r="N11" s="17" t="s">
        <v>79</v>
      </c>
      <c r="O11" s="18"/>
      <c r="P11" s="7"/>
    </row>
    <row r="12" customFormat="false" ht="46.25" hidden="false" customHeight="false" outlineLevel="0" collapsed="false">
      <c r="A12" s="6" t="s">
        <v>159</v>
      </c>
      <c r="B12" s="6" t="s">
        <v>25</v>
      </c>
      <c r="C12" s="15" t="s">
        <v>69</v>
      </c>
      <c r="D12" s="7" t="s">
        <v>160</v>
      </c>
      <c r="E12" s="6" t="s">
        <v>161</v>
      </c>
      <c r="F12" s="7" t="s">
        <v>91</v>
      </c>
      <c r="G12" s="16" t="s">
        <v>73</v>
      </c>
      <c r="H12" s="7" t="s">
        <v>162</v>
      </c>
      <c r="I12" s="7" t="s">
        <v>163</v>
      </c>
      <c r="J12" s="7" t="s">
        <v>164</v>
      </c>
      <c r="K12" s="7" t="s">
        <v>165</v>
      </c>
      <c r="L12" s="7"/>
      <c r="M12" s="6" t="s">
        <v>28</v>
      </c>
      <c r="N12" s="17" t="s">
        <v>79</v>
      </c>
      <c r="O12" s="18"/>
      <c r="P12" s="7"/>
    </row>
    <row r="13" customFormat="false" ht="35.05" hidden="false" customHeight="false" outlineLevel="0" collapsed="false">
      <c r="A13" s="6" t="s">
        <v>166</v>
      </c>
      <c r="B13" s="6" t="s">
        <v>25</v>
      </c>
      <c r="C13" s="15" t="s">
        <v>69</v>
      </c>
      <c r="D13" s="7" t="s">
        <v>167</v>
      </c>
      <c r="E13" s="6" t="s">
        <v>168</v>
      </c>
      <c r="F13" s="7" t="s">
        <v>91</v>
      </c>
      <c r="G13" s="16" t="s">
        <v>73</v>
      </c>
      <c r="H13" s="7" t="s">
        <v>169</v>
      </c>
      <c r="I13" s="7" t="s">
        <v>170</v>
      </c>
      <c r="J13" s="7" t="s">
        <v>171</v>
      </c>
      <c r="K13" s="7" t="s">
        <v>172</v>
      </c>
      <c r="L13" s="7"/>
      <c r="M13" s="6" t="s">
        <v>173</v>
      </c>
      <c r="N13" s="17" t="s">
        <v>79</v>
      </c>
      <c r="O13" s="18"/>
      <c r="P13" s="7"/>
    </row>
    <row r="14" customFormat="false" ht="35.05" hidden="false" customHeight="false" outlineLevel="0" collapsed="false">
      <c r="A14" s="6" t="s">
        <v>174</v>
      </c>
      <c r="B14" s="6" t="s">
        <v>25</v>
      </c>
      <c r="C14" s="6" t="s">
        <v>101</v>
      </c>
      <c r="D14" s="7" t="s">
        <v>175</v>
      </c>
      <c r="E14" s="6" t="s">
        <v>176</v>
      </c>
      <c r="F14" s="7" t="s">
        <v>72</v>
      </c>
      <c r="G14" s="16" t="s">
        <v>73</v>
      </c>
      <c r="H14" s="7" t="s">
        <v>177</v>
      </c>
      <c r="I14" s="7" t="s">
        <v>178</v>
      </c>
      <c r="J14" s="7" t="s">
        <v>179</v>
      </c>
      <c r="K14" s="7" t="s">
        <v>180</v>
      </c>
      <c r="L14" s="7" t="s">
        <v>181</v>
      </c>
      <c r="M14" s="6" t="s">
        <v>28</v>
      </c>
      <c r="N14" s="17" t="s">
        <v>79</v>
      </c>
      <c r="O14" s="18"/>
      <c r="P14" s="7"/>
    </row>
    <row r="15" customFormat="false" ht="46.25" hidden="false" customHeight="false" outlineLevel="0" collapsed="false">
      <c r="A15" s="6" t="s">
        <v>182</v>
      </c>
      <c r="B15" s="6" t="s">
        <v>25</v>
      </c>
      <c r="C15" s="15" t="s">
        <v>69</v>
      </c>
      <c r="D15" s="7" t="s">
        <v>183</v>
      </c>
      <c r="E15" s="6" t="s">
        <v>168</v>
      </c>
      <c r="F15" s="7" t="s">
        <v>91</v>
      </c>
      <c r="G15" s="16" t="s">
        <v>73</v>
      </c>
      <c r="H15" s="7" t="s">
        <v>184</v>
      </c>
      <c r="I15" s="7" t="s">
        <v>185</v>
      </c>
      <c r="J15" s="7" t="s">
        <v>186</v>
      </c>
      <c r="K15" s="7" t="s">
        <v>187</v>
      </c>
      <c r="L15" s="7" t="s">
        <v>188</v>
      </c>
      <c r="M15" s="6" t="s">
        <v>28</v>
      </c>
      <c r="N15" s="17" t="s">
        <v>79</v>
      </c>
      <c r="O15" s="18"/>
      <c r="P15" s="7"/>
    </row>
    <row r="16" customFormat="false" ht="35.05" hidden="false" customHeight="false" outlineLevel="0" collapsed="false">
      <c r="A16" s="6" t="s">
        <v>189</v>
      </c>
      <c r="B16" s="6" t="s">
        <v>25</v>
      </c>
      <c r="C16" s="6" t="s">
        <v>101</v>
      </c>
      <c r="D16" s="7" t="s">
        <v>190</v>
      </c>
      <c r="E16" s="6" t="s">
        <v>191</v>
      </c>
      <c r="F16" s="7" t="s">
        <v>192</v>
      </c>
      <c r="G16" s="16" t="s">
        <v>73</v>
      </c>
      <c r="H16" s="7" t="s">
        <v>193</v>
      </c>
      <c r="I16" s="7" t="s">
        <v>194</v>
      </c>
      <c r="J16" s="7" t="s">
        <v>195</v>
      </c>
      <c r="K16" s="7" t="s">
        <v>196</v>
      </c>
      <c r="L16" s="7"/>
      <c r="M16" s="6" t="s">
        <v>28</v>
      </c>
      <c r="N16" s="17" t="s">
        <v>79</v>
      </c>
      <c r="O16" s="18"/>
      <c r="P16" s="7"/>
    </row>
    <row r="17" customFormat="false" ht="46.25" hidden="false" customHeight="false" outlineLevel="0" collapsed="false">
      <c r="A17" s="6" t="s">
        <v>197</v>
      </c>
      <c r="B17" s="6" t="s">
        <v>25</v>
      </c>
      <c r="C17" s="15" t="s">
        <v>69</v>
      </c>
      <c r="D17" s="7" t="s">
        <v>198</v>
      </c>
      <c r="E17" s="6" t="s">
        <v>199</v>
      </c>
      <c r="F17" s="7" t="s">
        <v>91</v>
      </c>
      <c r="G17" s="16" t="s">
        <v>73</v>
      </c>
      <c r="H17" s="7" t="s">
        <v>200</v>
      </c>
      <c r="I17" s="7" t="s">
        <v>201</v>
      </c>
      <c r="J17" s="7" t="s">
        <v>202</v>
      </c>
      <c r="K17" s="7" t="s">
        <v>203</v>
      </c>
      <c r="L17" s="7" t="s">
        <v>204</v>
      </c>
      <c r="M17" s="6" t="s">
        <v>173</v>
      </c>
      <c r="N17" s="17" t="s">
        <v>79</v>
      </c>
      <c r="O17" s="18"/>
      <c r="P17" s="7"/>
    </row>
    <row r="18" customFormat="false" ht="35.05" hidden="false" customHeight="false" outlineLevel="0" collapsed="false">
      <c r="A18" s="6" t="s">
        <v>205</v>
      </c>
      <c r="B18" s="6" t="s">
        <v>25</v>
      </c>
      <c r="C18" s="6" t="s">
        <v>101</v>
      </c>
      <c r="D18" s="7" t="s">
        <v>206</v>
      </c>
      <c r="E18" s="6" t="s">
        <v>176</v>
      </c>
      <c r="F18" s="7" t="s">
        <v>207</v>
      </c>
      <c r="G18" s="16" t="s">
        <v>73</v>
      </c>
      <c r="H18" s="7" t="s">
        <v>208</v>
      </c>
      <c r="I18" s="7" t="s">
        <v>209</v>
      </c>
      <c r="J18" s="7" t="s">
        <v>210</v>
      </c>
      <c r="K18" s="7" t="s">
        <v>211</v>
      </c>
      <c r="L18" s="7"/>
      <c r="M18" s="6" t="s">
        <v>28</v>
      </c>
      <c r="N18" s="17" t="s">
        <v>79</v>
      </c>
      <c r="O18" s="18"/>
      <c r="P18" s="20" t="s">
        <v>212</v>
      </c>
    </row>
    <row r="19" customFormat="false" ht="46.25" hidden="false" customHeight="false" outlineLevel="0" collapsed="false">
      <c r="A19" s="6" t="s">
        <v>213</v>
      </c>
      <c r="B19" s="6" t="s">
        <v>25</v>
      </c>
      <c r="C19" s="6" t="s">
        <v>101</v>
      </c>
      <c r="D19" s="7" t="s">
        <v>214</v>
      </c>
      <c r="E19" s="6" t="s">
        <v>215</v>
      </c>
      <c r="F19" s="7" t="s">
        <v>72</v>
      </c>
      <c r="G19" s="16" t="s">
        <v>73</v>
      </c>
      <c r="H19" s="7" t="s">
        <v>216</v>
      </c>
      <c r="I19" s="7" t="s">
        <v>217</v>
      </c>
      <c r="J19" s="7" t="s">
        <v>218</v>
      </c>
      <c r="K19" s="7" t="s">
        <v>219</v>
      </c>
      <c r="L19" s="7" t="s">
        <v>220</v>
      </c>
      <c r="M19" s="6" t="s">
        <v>28</v>
      </c>
      <c r="N19" s="17" t="s">
        <v>79</v>
      </c>
      <c r="O19" s="18"/>
      <c r="P19" s="7"/>
    </row>
    <row r="20" customFormat="false" ht="23.85" hidden="false" customHeight="false" outlineLevel="0" collapsed="false">
      <c r="A20" s="6" t="s">
        <v>221</v>
      </c>
      <c r="B20" s="6" t="s">
        <v>25</v>
      </c>
      <c r="C20" s="6" t="s">
        <v>81</v>
      </c>
      <c r="D20" s="7" t="s">
        <v>222</v>
      </c>
      <c r="E20" s="6" t="s">
        <v>223</v>
      </c>
      <c r="F20" s="7" t="s">
        <v>131</v>
      </c>
      <c r="G20" s="16" t="s">
        <v>73</v>
      </c>
      <c r="H20" s="7" t="s">
        <v>224</v>
      </c>
      <c r="I20" s="7" t="s">
        <v>225</v>
      </c>
      <c r="J20" s="7" t="s">
        <v>226</v>
      </c>
      <c r="K20" s="7" t="s">
        <v>227</v>
      </c>
      <c r="L20" s="7"/>
      <c r="M20" s="6" t="s">
        <v>28</v>
      </c>
      <c r="N20" s="17" t="s">
        <v>79</v>
      </c>
      <c r="O20" s="18"/>
      <c r="P20" s="7"/>
    </row>
    <row r="21" customFormat="false" ht="46.25" hidden="false" customHeight="false" outlineLevel="0" collapsed="false">
      <c r="A21" s="6" t="s">
        <v>228</v>
      </c>
      <c r="B21" s="6" t="s">
        <v>30</v>
      </c>
      <c r="C21" s="15" t="s">
        <v>69</v>
      </c>
      <c r="D21" s="7" t="s">
        <v>229</v>
      </c>
      <c r="E21" s="6" t="s">
        <v>230</v>
      </c>
      <c r="F21" s="7" t="s">
        <v>72</v>
      </c>
      <c r="G21" s="16" t="s">
        <v>73</v>
      </c>
      <c r="H21" s="7" t="s">
        <v>231</v>
      </c>
      <c r="I21" s="7" t="s">
        <v>178</v>
      </c>
      <c r="J21" s="7" t="s">
        <v>232</v>
      </c>
      <c r="K21" s="7" t="s">
        <v>233</v>
      </c>
      <c r="L21" s="7"/>
      <c r="M21" s="6" t="s">
        <v>33</v>
      </c>
      <c r="N21" s="17" t="s">
        <v>79</v>
      </c>
      <c r="O21" s="18"/>
      <c r="P21" s="7"/>
    </row>
    <row r="22" customFormat="false" ht="35.05" hidden="false" customHeight="false" outlineLevel="0" collapsed="false">
      <c r="A22" s="6" t="s">
        <v>234</v>
      </c>
      <c r="B22" s="6" t="s">
        <v>30</v>
      </c>
      <c r="C22" s="6" t="s">
        <v>101</v>
      </c>
      <c r="D22" s="7" t="s">
        <v>235</v>
      </c>
      <c r="E22" s="6" t="s">
        <v>223</v>
      </c>
      <c r="F22" s="7" t="s">
        <v>72</v>
      </c>
      <c r="G22" s="16" t="s">
        <v>73</v>
      </c>
      <c r="H22" s="7" t="s">
        <v>236</v>
      </c>
      <c r="I22" s="7" t="s">
        <v>178</v>
      </c>
      <c r="J22" s="7" t="s">
        <v>237</v>
      </c>
      <c r="K22" s="7" t="s">
        <v>238</v>
      </c>
      <c r="L22" s="7" t="s">
        <v>239</v>
      </c>
      <c r="M22" s="6" t="s">
        <v>33</v>
      </c>
      <c r="N22" s="17" t="s">
        <v>79</v>
      </c>
      <c r="O22" s="18"/>
      <c r="P22" s="7"/>
    </row>
    <row r="23" customFormat="false" ht="57.45" hidden="false" customHeight="false" outlineLevel="0" collapsed="false">
      <c r="A23" s="6" t="s">
        <v>240</v>
      </c>
      <c r="B23" s="6" t="s">
        <v>30</v>
      </c>
      <c r="C23" s="15" t="s">
        <v>69</v>
      </c>
      <c r="D23" s="7" t="s">
        <v>241</v>
      </c>
      <c r="E23" s="6" t="s">
        <v>90</v>
      </c>
      <c r="F23" s="7" t="s">
        <v>72</v>
      </c>
      <c r="G23" s="19" t="s">
        <v>242</v>
      </c>
      <c r="H23" s="7" t="s">
        <v>243</v>
      </c>
      <c r="I23" s="7" t="s">
        <v>244</v>
      </c>
      <c r="J23" s="7" t="s">
        <v>245</v>
      </c>
      <c r="K23" s="7" t="s">
        <v>246</v>
      </c>
      <c r="L23" s="7" t="s">
        <v>247</v>
      </c>
      <c r="M23" s="6" t="s">
        <v>33</v>
      </c>
      <c r="N23" s="17" t="s">
        <v>79</v>
      </c>
      <c r="O23" s="18" t="s">
        <v>248</v>
      </c>
      <c r="P23" s="20" t="s">
        <v>249</v>
      </c>
    </row>
    <row r="24" customFormat="false" ht="46.25" hidden="false" customHeight="false" outlineLevel="0" collapsed="false">
      <c r="A24" s="6" t="s">
        <v>250</v>
      </c>
      <c r="B24" s="6" t="s">
        <v>30</v>
      </c>
      <c r="C24" s="15" t="s">
        <v>69</v>
      </c>
      <c r="D24" s="7" t="s">
        <v>251</v>
      </c>
      <c r="E24" s="6" t="s">
        <v>103</v>
      </c>
      <c r="F24" s="7" t="s">
        <v>91</v>
      </c>
      <c r="G24" s="19" t="s">
        <v>92</v>
      </c>
      <c r="H24" s="7" t="s">
        <v>252</v>
      </c>
      <c r="I24" s="7" t="s">
        <v>253</v>
      </c>
      <c r="J24" s="7" t="s">
        <v>254</v>
      </c>
      <c r="K24" s="7" t="s">
        <v>255</v>
      </c>
      <c r="L24" s="7" t="s">
        <v>256</v>
      </c>
      <c r="M24" s="6" t="s">
        <v>33</v>
      </c>
      <c r="N24" s="17" t="s">
        <v>79</v>
      </c>
      <c r="O24" s="18"/>
      <c r="P24" s="20" t="s">
        <v>257</v>
      </c>
    </row>
    <row r="25" customFormat="false" ht="46.25" hidden="false" customHeight="false" outlineLevel="0" collapsed="false">
      <c r="A25" s="6" t="s">
        <v>258</v>
      </c>
      <c r="B25" s="6" t="s">
        <v>30</v>
      </c>
      <c r="C25" s="6" t="s">
        <v>101</v>
      </c>
      <c r="D25" s="7" t="s">
        <v>259</v>
      </c>
      <c r="E25" s="6" t="s">
        <v>103</v>
      </c>
      <c r="F25" s="7" t="s">
        <v>72</v>
      </c>
      <c r="G25" s="16" t="s">
        <v>73</v>
      </c>
      <c r="H25" s="7" t="s">
        <v>260</v>
      </c>
      <c r="I25" s="7" t="s">
        <v>261</v>
      </c>
      <c r="J25" s="7" t="s">
        <v>262</v>
      </c>
      <c r="K25" s="7" t="s">
        <v>263</v>
      </c>
      <c r="L25" s="7"/>
      <c r="M25" s="6" t="s">
        <v>33</v>
      </c>
      <c r="N25" s="17" t="s">
        <v>79</v>
      </c>
      <c r="O25" s="18"/>
      <c r="P25" s="7"/>
    </row>
    <row r="26" customFormat="false" ht="35.05" hidden="false" customHeight="false" outlineLevel="0" collapsed="false">
      <c r="A26" s="6" t="s">
        <v>264</v>
      </c>
      <c r="B26" s="6" t="s">
        <v>30</v>
      </c>
      <c r="C26" s="6" t="s">
        <v>81</v>
      </c>
      <c r="D26" s="7" t="s">
        <v>265</v>
      </c>
      <c r="E26" s="6" t="s">
        <v>266</v>
      </c>
      <c r="F26" s="7" t="s">
        <v>91</v>
      </c>
      <c r="G26" s="16" t="s">
        <v>73</v>
      </c>
      <c r="H26" s="7" t="s">
        <v>267</v>
      </c>
      <c r="I26" s="7" t="s">
        <v>268</v>
      </c>
      <c r="J26" s="7" t="s">
        <v>269</v>
      </c>
      <c r="K26" s="7" t="s">
        <v>270</v>
      </c>
      <c r="L26" s="7"/>
      <c r="M26" s="6" t="s">
        <v>33</v>
      </c>
      <c r="N26" s="17" t="s">
        <v>79</v>
      </c>
      <c r="O26" s="18"/>
      <c r="P26" s="7"/>
    </row>
    <row r="27" customFormat="false" ht="46.25" hidden="false" customHeight="false" outlineLevel="0" collapsed="false">
      <c r="A27" s="6" t="s">
        <v>271</v>
      </c>
      <c r="B27" s="6" t="s">
        <v>35</v>
      </c>
      <c r="C27" s="15" t="s">
        <v>69</v>
      </c>
      <c r="D27" s="7" t="s">
        <v>272</v>
      </c>
      <c r="E27" s="6" t="s">
        <v>273</v>
      </c>
      <c r="F27" s="7" t="s">
        <v>72</v>
      </c>
      <c r="G27" s="16" t="s">
        <v>73</v>
      </c>
      <c r="H27" s="7" t="s">
        <v>274</v>
      </c>
      <c r="I27" s="7" t="s">
        <v>275</v>
      </c>
      <c r="J27" s="7" t="s">
        <v>276</v>
      </c>
      <c r="K27" s="7" t="s">
        <v>277</v>
      </c>
      <c r="L27" s="7"/>
      <c r="M27" s="6" t="s">
        <v>38</v>
      </c>
      <c r="N27" s="17" t="s">
        <v>79</v>
      </c>
      <c r="O27" s="18"/>
      <c r="P27" s="7"/>
    </row>
    <row r="28" customFormat="false" ht="35.05" hidden="false" customHeight="false" outlineLevel="0" collapsed="false">
      <c r="A28" s="6" t="s">
        <v>278</v>
      </c>
      <c r="B28" s="6" t="s">
        <v>35</v>
      </c>
      <c r="C28" s="6" t="s">
        <v>101</v>
      </c>
      <c r="D28" s="7" t="s">
        <v>279</v>
      </c>
      <c r="E28" s="6" t="s">
        <v>153</v>
      </c>
      <c r="F28" s="7" t="s">
        <v>72</v>
      </c>
      <c r="G28" s="16" t="s">
        <v>73</v>
      </c>
      <c r="H28" s="7" t="s">
        <v>280</v>
      </c>
      <c r="I28" s="7" t="s">
        <v>281</v>
      </c>
      <c r="J28" s="7" t="s">
        <v>282</v>
      </c>
      <c r="K28" s="7" t="s">
        <v>283</v>
      </c>
      <c r="L28" s="7"/>
      <c r="M28" s="6" t="s">
        <v>38</v>
      </c>
      <c r="N28" s="17" t="s">
        <v>79</v>
      </c>
      <c r="O28" s="18"/>
      <c r="P28" s="7"/>
    </row>
    <row r="29" customFormat="false" ht="57.45" hidden="false" customHeight="false" outlineLevel="0" collapsed="false">
      <c r="A29" s="6" t="s">
        <v>284</v>
      </c>
      <c r="B29" s="6" t="s">
        <v>35</v>
      </c>
      <c r="C29" s="15" t="s">
        <v>69</v>
      </c>
      <c r="D29" s="7" t="s">
        <v>285</v>
      </c>
      <c r="E29" s="6" t="s">
        <v>286</v>
      </c>
      <c r="F29" s="7" t="s">
        <v>72</v>
      </c>
      <c r="G29" s="16" t="s">
        <v>73</v>
      </c>
      <c r="H29" s="7" t="s">
        <v>287</v>
      </c>
      <c r="I29" s="7" t="s">
        <v>288</v>
      </c>
      <c r="J29" s="7" t="s">
        <v>289</v>
      </c>
      <c r="K29" s="7" t="s">
        <v>290</v>
      </c>
      <c r="L29" s="7" t="s">
        <v>291</v>
      </c>
      <c r="M29" s="6" t="s">
        <v>38</v>
      </c>
      <c r="N29" s="17" t="s">
        <v>79</v>
      </c>
      <c r="O29" s="18"/>
      <c r="P29" s="7"/>
    </row>
    <row r="30" customFormat="false" ht="35.05" hidden="false" customHeight="false" outlineLevel="0" collapsed="false">
      <c r="A30" s="6" t="s">
        <v>292</v>
      </c>
      <c r="B30" s="6" t="s">
        <v>35</v>
      </c>
      <c r="C30" s="6" t="s">
        <v>101</v>
      </c>
      <c r="D30" s="7" t="s">
        <v>293</v>
      </c>
      <c r="E30" s="6" t="s">
        <v>286</v>
      </c>
      <c r="F30" s="7" t="s">
        <v>91</v>
      </c>
      <c r="G30" s="16" t="s">
        <v>73</v>
      </c>
      <c r="H30" s="7" t="s">
        <v>294</v>
      </c>
      <c r="I30" s="7" t="s">
        <v>295</v>
      </c>
      <c r="J30" s="7" t="s">
        <v>296</v>
      </c>
      <c r="K30" s="7" t="s">
        <v>297</v>
      </c>
      <c r="L30" s="7"/>
      <c r="M30" s="6" t="s">
        <v>38</v>
      </c>
      <c r="N30" s="17" t="s">
        <v>79</v>
      </c>
      <c r="O30" s="18"/>
      <c r="P30" s="7"/>
    </row>
    <row r="31" customFormat="false" ht="46.25" hidden="false" customHeight="false" outlineLevel="0" collapsed="false">
      <c r="A31" s="6" t="s">
        <v>298</v>
      </c>
      <c r="B31" s="6" t="s">
        <v>35</v>
      </c>
      <c r="C31" s="15" t="s">
        <v>69</v>
      </c>
      <c r="D31" s="7" t="s">
        <v>299</v>
      </c>
      <c r="E31" s="6" t="s">
        <v>223</v>
      </c>
      <c r="F31" s="7" t="s">
        <v>91</v>
      </c>
      <c r="G31" s="16" t="s">
        <v>73</v>
      </c>
      <c r="H31" s="7" t="s">
        <v>300</v>
      </c>
      <c r="I31" s="7" t="s">
        <v>301</v>
      </c>
      <c r="J31" s="7" t="s">
        <v>302</v>
      </c>
      <c r="K31" s="7" t="s">
        <v>303</v>
      </c>
      <c r="L31" s="7" t="s">
        <v>304</v>
      </c>
      <c r="M31" s="6" t="s">
        <v>38</v>
      </c>
      <c r="N31" s="17" t="s">
        <v>79</v>
      </c>
      <c r="O31" s="18"/>
      <c r="P31" s="7"/>
    </row>
    <row r="32" customFormat="false" ht="57.45" hidden="false" customHeight="false" outlineLevel="0" collapsed="false">
      <c r="A32" s="6" t="s">
        <v>305</v>
      </c>
      <c r="B32" s="6" t="s">
        <v>35</v>
      </c>
      <c r="C32" s="6" t="s">
        <v>101</v>
      </c>
      <c r="D32" s="7" t="s">
        <v>306</v>
      </c>
      <c r="E32" s="6" t="s">
        <v>223</v>
      </c>
      <c r="F32" s="7" t="s">
        <v>72</v>
      </c>
      <c r="G32" s="16" t="s">
        <v>73</v>
      </c>
      <c r="H32" s="7" t="s">
        <v>307</v>
      </c>
      <c r="I32" s="7" t="s">
        <v>308</v>
      </c>
      <c r="J32" s="7" t="s">
        <v>309</v>
      </c>
      <c r="K32" s="7" t="s">
        <v>310</v>
      </c>
      <c r="L32" s="7" t="s">
        <v>311</v>
      </c>
      <c r="M32" s="6" t="s">
        <v>38</v>
      </c>
      <c r="N32" s="17" t="s">
        <v>79</v>
      </c>
      <c r="O32" s="18"/>
      <c r="P32" s="7"/>
    </row>
    <row r="33" customFormat="false" ht="35.05" hidden="false" customHeight="false" outlineLevel="0" collapsed="false">
      <c r="A33" s="6" t="s">
        <v>312</v>
      </c>
      <c r="B33" s="6" t="s">
        <v>35</v>
      </c>
      <c r="C33" s="15" t="s">
        <v>69</v>
      </c>
      <c r="D33" s="7" t="s">
        <v>313</v>
      </c>
      <c r="E33" s="6" t="s">
        <v>314</v>
      </c>
      <c r="F33" s="7" t="s">
        <v>72</v>
      </c>
      <c r="G33" s="16" t="s">
        <v>73</v>
      </c>
      <c r="H33" s="7" t="s">
        <v>315</v>
      </c>
      <c r="I33" s="7" t="s">
        <v>316</v>
      </c>
      <c r="J33" s="7" t="s">
        <v>317</v>
      </c>
      <c r="K33" s="7" t="s">
        <v>318</v>
      </c>
      <c r="L33" s="7" t="s">
        <v>181</v>
      </c>
      <c r="M33" s="6" t="s">
        <v>38</v>
      </c>
      <c r="N33" s="17" t="s">
        <v>79</v>
      </c>
      <c r="O33" s="18"/>
      <c r="P33" s="7"/>
    </row>
    <row r="34" customFormat="false" ht="57.45" hidden="false" customHeight="false" outlineLevel="0" collapsed="false">
      <c r="A34" s="6" t="s">
        <v>319</v>
      </c>
      <c r="B34" s="6" t="s">
        <v>35</v>
      </c>
      <c r="C34" s="6" t="s">
        <v>101</v>
      </c>
      <c r="D34" s="7" t="s">
        <v>320</v>
      </c>
      <c r="E34" s="6" t="s">
        <v>321</v>
      </c>
      <c r="F34" s="7" t="s">
        <v>322</v>
      </c>
      <c r="G34" s="16" t="s">
        <v>73</v>
      </c>
      <c r="H34" s="7" t="s">
        <v>323</v>
      </c>
      <c r="I34" s="7" t="s">
        <v>324</v>
      </c>
      <c r="J34" s="7" t="s">
        <v>325</v>
      </c>
      <c r="K34" s="7" t="s">
        <v>326</v>
      </c>
      <c r="L34" s="7" t="s">
        <v>311</v>
      </c>
      <c r="M34" s="6" t="s">
        <v>38</v>
      </c>
      <c r="N34" s="17" t="s">
        <v>79</v>
      </c>
      <c r="O34" s="18"/>
      <c r="P34" s="7"/>
    </row>
    <row r="35" customFormat="false" ht="35.05" hidden="false" customHeight="false" outlineLevel="0" collapsed="false">
      <c r="A35" s="6" t="s">
        <v>327</v>
      </c>
      <c r="B35" s="6" t="s">
        <v>35</v>
      </c>
      <c r="C35" s="15" t="s">
        <v>69</v>
      </c>
      <c r="D35" s="7" t="s">
        <v>328</v>
      </c>
      <c r="E35" s="6" t="s">
        <v>90</v>
      </c>
      <c r="F35" s="7" t="s">
        <v>72</v>
      </c>
      <c r="G35" s="16" t="s">
        <v>73</v>
      </c>
      <c r="H35" s="7" t="s">
        <v>329</v>
      </c>
      <c r="I35" s="7" t="s">
        <v>178</v>
      </c>
      <c r="J35" s="7" t="s">
        <v>330</v>
      </c>
      <c r="K35" s="7" t="s">
        <v>331</v>
      </c>
      <c r="L35" s="7" t="s">
        <v>332</v>
      </c>
      <c r="M35" s="6" t="s">
        <v>38</v>
      </c>
      <c r="N35" s="17" t="s">
        <v>79</v>
      </c>
      <c r="O35" s="18"/>
      <c r="P35" s="7"/>
    </row>
    <row r="36" customFormat="false" ht="57.45" hidden="false" customHeight="false" outlineLevel="0" collapsed="false">
      <c r="A36" s="6" t="s">
        <v>333</v>
      </c>
      <c r="B36" s="6" t="s">
        <v>35</v>
      </c>
      <c r="C36" s="15" t="s">
        <v>69</v>
      </c>
      <c r="D36" s="7" t="s">
        <v>334</v>
      </c>
      <c r="E36" s="6" t="s">
        <v>90</v>
      </c>
      <c r="F36" s="7" t="s">
        <v>72</v>
      </c>
      <c r="G36" s="16" t="s">
        <v>73</v>
      </c>
      <c r="H36" s="7" t="s">
        <v>335</v>
      </c>
      <c r="I36" s="7" t="s">
        <v>336</v>
      </c>
      <c r="J36" s="7" t="s">
        <v>337</v>
      </c>
      <c r="K36" s="7" t="s">
        <v>338</v>
      </c>
      <c r="L36" s="7" t="s">
        <v>332</v>
      </c>
      <c r="M36" s="6" t="s">
        <v>38</v>
      </c>
      <c r="N36" s="17" t="s">
        <v>79</v>
      </c>
      <c r="O36" s="18"/>
      <c r="P36" s="7"/>
    </row>
    <row r="37" customFormat="false" ht="57.45" hidden="false" customHeight="false" outlineLevel="0" collapsed="false">
      <c r="A37" s="6" t="s">
        <v>339</v>
      </c>
      <c r="B37" s="6" t="s">
        <v>35</v>
      </c>
      <c r="C37" s="15" t="s">
        <v>69</v>
      </c>
      <c r="D37" s="7" t="s">
        <v>340</v>
      </c>
      <c r="E37" s="6" t="s">
        <v>90</v>
      </c>
      <c r="F37" s="7" t="s">
        <v>91</v>
      </c>
      <c r="G37" s="16" t="s">
        <v>73</v>
      </c>
      <c r="H37" s="7" t="s">
        <v>341</v>
      </c>
      <c r="I37" s="7" t="s">
        <v>342</v>
      </c>
      <c r="J37" s="7" t="s">
        <v>343</v>
      </c>
      <c r="K37" s="7" t="s">
        <v>344</v>
      </c>
      <c r="L37" s="7" t="s">
        <v>345</v>
      </c>
      <c r="M37" s="6" t="s">
        <v>38</v>
      </c>
      <c r="N37" s="17" t="s">
        <v>79</v>
      </c>
      <c r="O37" s="18"/>
      <c r="P37" s="7"/>
    </row>
    <row r="38" customFormat="false" ht="46.25" hidden="false" customHeight="false" outlineLevel="0" collapsed="false">
      <c r="A38" s="6" t="s">
        <v>346</v>
      </c>
      <c r="B38" s="6" t="s">
        <v>35</v>
      </c>
      <c r="C38" s="6" t="s">
        <v>101</v>
      </c>
      <c r="D38" s="7" t="s">
        <v>347</v>
      </c>
      <c r="E38" s="6" t="s">
        <v>146</v>
      </c>
      <c r="F38" s="7" t="s">
        <v>91</v>
      </c>
      <c r="G38" s="16" t="s">
        <v>73</v>
      </c>
      <c r="H38" s="7" t="s">
        <v>348</v>
      </c>
      <c r="I38" s="7" t="s">
        <v>349</v>
      </c>
      <c r="J38" s="7" t="s">
        <v>350</v>
      </c>
      <c r="K38" s="7" t="s">
        <v>351</v>
      </c>
      <c r="L38" s="7"/>
      <c r="M38" s="6" t="s">
        <v>38</v>
      </c>
      <c r="N38" s="17" t="s">
        <v>79</v>
      </c>
      <c r="O38" s="18"/>
      <c r="P38" s="7"/>
    </row>
    <row r="39" customFormat="false" ht="57.45" hidden="false" customHeight="false" outlineLevel="0" collapsed="false">
      <c r="A39" s="6" t="s">
        <v>352</v>
      </c>
      <c r="B39" s="6" t="s">
        <v>35</v>
      </c>
      <c r="C39" s="6" t="s">
        <v>101</v>
      </c>
      <c r="D39" s="7" t="s">
        <v>353</v>
      </c>
      <c r="E39" s="6" t="s">
        <v>130</v>
      </c>
      <c r="F39" s="7" t="s">
        <v>72</v>
      </c>
      <c r="G39" s="19" t="s">
        <v>92</v>
      </c>
      <c r="H39" s="7" t="s">
        <v>354</v>
      </c>
      <c r="I39" s="7" t="s">
        <v>355</v>
      </c>
      <c r="J39" s="7" t="s">
        <v>356</v>
      </c>
      <c r="K39" s="7" t="s">
        <v>357</v>
      </c>
      <c r="L39" s="7" t="s">
        <v>358</v>
      </c>
      <c r="M39" s="6" t="s">
        <v>38</v>
      </c>
      <c r="N39" s="17" t="s">
        <v>79</v>
      </c>
      <c r="O39" s="18"/>
      <c r="P39" s="20" t="s">
        <v>359</v>
      </c>
    </row>
    <row r="40" customFormat="false" ht="46.25" hidden="false" customHeight="false" outlineLevel="0" collapsed="false">
      <c r="A40" s="6" t="s">
        <v>360</v>
      </c>
      <c r="B40" s="6" t="s">
        <v>40</v>
      </c>
      <c r="C40" s="15" t="s">
        <v>69</v>
      </c>
      <c r="D40" s="7" t="s">
        <v>361</v>
      </c>
      <c r="E40" s="6" t="s">
        <v>362</v>
      </c>
      <c r="F40" s="7" t="s">
        <v>131</v>
      </c>
      <c r="G40" s="19" t="s">
        <v>92</v>
      </c>
      <c r="H40" s="7" t="s">
        <v>363</v>
      </c>
      <c r="I40" s="7" t="s">
        <v>364</v>
      </c>
      <c r="J40" s="7" t="s">
        <v>365</v>
      </c>
      <c r="K40" s="7" t="s">
        <v>366</v>
      </c>
      <c r="L40" s="7" t="s">
        <v>367</v>
      </c>
      <c r="M40" s="6" t="s">
        <v>38</v>
      </c>
      <c r="N40" s="17" t="s">
        <v>79</v>
      </c>
      <c r="O40" s="18"/>
      <c r="P40" s="20" t="s">
        <v>368</v>
      </c>
    </row>
    <row r="41" customFormat="false" ht="35.05" hidden="false" customHeight="false" outlineLevel="0" collapsed="false">
      <c r="A41" s="6" t="s">
        <v>369</v>
      </c>
      <c r="B41" s="6" t="s">
        <v>40</v>
      </c>
      <c r="C41" s="15" t="s">
        <v>69</v>
      </c>
      <c r="D41" s="7" t="s">
        <v>370</v>
      </c>
      <c r="E41" s="6" t="s">
        <v>103</v>
      </c>
      <c r="F41" s="7" t="s">
        <v>131</v>
      </c>
      <c r="G41" s="16" t="s">
        <v>73</v>
      </c>
      <c r="H41" s="7" t="s">
        <v>371</v>
      </c>
      <c r="I41" s="7" t="s">
        <v>372</v>
      </c>
      <c r="J41" s="7" t="s">
        <v>373</v>
      </c>
      <c r="K41" s="7" t="s">
        <v>374</v>
      </c>
      <c r="L41" s="7"/>
      <c r="M41" s="6" t="s">
        <v>38</v>
      </c>
      <c r="N41" s="17" t="s">
        <v>79</v>
      </c>
      <c r="O41" s="18"/>
      <c r="P41" s="7"/>
    </row>
    <row r="42" customFormat="false" ht="23.85" hidden="false" customHeight="false" outlineLevel="0" collapsed="false">
      <c r="A42" s="6" t="s">
        <v>375</v>
      </c>
      <c r="B42" s="6" t="s">
        <v>40</v>
      </c>
      <c r="C42" s="6" t="s">
        <v>101</v>
      </c>
      <c r="D42" s="7" t="s">
        <v>376</v>
      </c>
      <c r="E42" s="6" t="s">
        <v>103</v>
      </c>
      <c r="F42" s="7" t="s">
        <v>131</v>
      </c>
      <c r="G42" s="16" t="s">
        <v>73</v>
      </c>
      <c r="H42" s="7" t="s">
        <v>377</v>
      </c>
      <c r="I42" s="7" t="s">
        <v>225</v>
      </c>
      <c r="J42" s="7" t="s">
        <v>378</v>
      </c>
      <c r="K42" s="7" t="s">
        <v>379</v>
      </c>
      <c r="L42" s="7"/>
      <c r="M42" s="6" t="s">
        <v>23</v>
      </c>
      <c r="N42" s="17" t="s">
        <v>79</v>
      </c>
      <c r="O42" s="18"/>
      <c r="P42" s="7"/>
    </row>
    <row r="43" customFormat="false" ht="46.25" hidden="false" customHeight="false" outlineLevel="0" collapsed="false">
      <c r="A43" s="6" t="s">
        <v>380</v>
      </c>
      <c r="B43" s="6" t="s">
        <v>40</v>
      </c>
      <c r="C43" s="15" t="s">
        <v>69</v>
      </c>
      <c r="D43" s="7" t="s">
        <v>381</v>
      </c>
      <c r="E43" s="6" t="s">
        <v>90</v>
      </c>
      <c r="F43" s="7" t="s">
        <v>207</v>
      </c>
      <c r="G43" s="16" t="s">
        <v>73</v>
      </c>
      <c r="H43" s="7" t="s">
        <v>382</v>
      </c>
      <c r="I43" s="7" t="s">
        <v>383</v>
      </c>
      <c r="J43" s="7" t="s">
        <v>384</v>
      </c>
      <c r="K43" s="7" t="s">
        <v>385</v>
      </c>
      <c r="L43" s="7"/>
      <c r="M43" s="6" t="s">
        <v>38</v>
      </c>
      <c r="N43" s="17" t="s">
        <v>79</v>
      </c>
      <c r="O43" s="18"/>
      <c r="P43" s="7"/>
    </row>
    <row r="44" customFormat="false" ht="35.05" hidden="false" customHeight="false" outlineLevel="0" collapsed="false">
      <c r="A44" s="6" t="s">
        <v>386</v>
      </c>
      <c r="B44" s="6" t="s">
        <v>40</v>
      </c>
      <c r="C44" s="6" t="s">
        <v>101</v>
      </c>
      <c r="D44" s="7" t="s">
        <v>387</v>
      </c>
      <c r="E44" s="6" t="s">
        <v>223</v>
      </c>
      <c r="F44" s="7" t="s">
        <v>131</v>
      </c>
      <c r="G44" s="16" t="s">
        <v>73</v>
      </c>
      <c r="H44" s="7" t="s">
        <v>388</v>
      </c>
      <c r="I44" s="7" t="s">
        <v>389</v>
      </c>
      <c r="J44" s="7" t="s">
        <v>390</v>
      </c>
      <c r="K44" s="7" t="s">
        <v>391</v>
      </c>
      <c r="L44" s="7"/>
      <c r="M44" s="6" t="s">
        <v>38</v>
      </c>
      <c r="N44" s="17" t="s">
        <v>79</v>
      </c>
      <c r="O44" s="18"/>
      <c r="P44" s="7"/>
    </row>
    <row r="45" customFormat="false" ht="35.05" hidden="false" customHeight="false" outlineLevel="0" collapsed="false">
      <c r="A45" s="6" t="s">
        <v>392</v>
      </c>
      <c r="B45" s="6" t="s">
        <v>40</v>
      </c>
      <c r="C45" s="6" t="s">
        <v>101</v>
      </c>
      <c r="D45" s="7" t="s">
        <v>393</v>
      </c>
      <c r="E45" s="6" t="s">
        <v>223</v>
      </c>
      <c r="F45" s="7" t="s">
        <v>72</v>
      </c>
      <c r="G45" s="16" t="s">
        <v>73</v>
      </c>
      <c r="H45" s="7" t="s">
        <v>394</v>
      </c>
      <c r="I45" s="7" t="s">
        <v>395</v>
      </c>
      <c r="J45" s="7" t="s">
        <v>396</v>
      </c>
      <c r="K45" s="7" t="s">
        <v>397</v>
      </c>
      <c r="L45" s="7"/>
      <c r="M45" s="6" t="s">
        <v>38</v>
      </c>
      <c r="N45" s="17" t="s">
        <v>79</v>
      </c>
      <c r="O45" s="18"/>
      <c r="P45" s="7"/>
    </row>
    <row r="46" customFormat="false" ht="35.05" hidden="false" customHeight="false" outlineLevel="0" collapsed="false">
      <c r="A46" s="6" t="s">
        <v>398</v>
      </c>
      <c r="B46" s="6" t="s">
        <v>40</v>
      </c>
      <c r="C46" s="6" t="s">
        <v>81</v>
      </c>
      <c r="D46" s="7" t="s">
        <v>399</v>
      </c>
      <c r="E46" s="6" t="s">
        <v>139</v>
      </c>
      <c r="F46" s="7" t="s">
        <v>72</v>
      </c>
      <c r="G46" s="16" t="s">
        <v>73</v>
      </c>
      <c r="H46" s="7" t="s">
        <v>400</v>
      </c>
      <c r="I46" s="7" t="s">
        <v>401</v>
      </c>
      <c r="J46" s="7" t="s">
        <v>402</v>
      </c>
      <c r="K46" s="7" t="s">
        <v>403</v>
      </c>
      <c r="L46" s="7"/>
      <c r="M46" s="6" t="s">
        <v>38</v>
      </c>
      <c r="N46" s="17" t="s">
        <v>79</v>
      </c>
      <c r="O46" s="18"/>
      <c r="P46" s="7"/>
    </row>
  </sheetData>
  <autoFilter ref="A1:P46"/>
  <dataValidations count="3">
    <dataValidation allowBlank="true" errorStyle="stop" operator="between" showDropDown="false" showErrorMessage="false" showInputMessage="false" sqref="N2:N86" type="list">
      <formula1>"To read,Reading,Read,Cited,Dropped"</formula1>
      <formula2>0</formula2>
    </dataValidation>
    <dataValidation allowBlank="true" errorStyle="stop" operator="between" showDropDown="false" showErrorMessage="false" showInputMessage="false" sqref="C2:C86" type="list">
      <formula1>"Core,Supporting,Optional"</formula1>
      <formula2>0</formula2>
    </dataValidation>
    <dataValidation allowBlank="true" errorStyle="stop" operator="between" showDropDown="false" showErrorMessage="false" showInputMessage="false" sqref="B2:B86" type="list">
      <formula1>"2.1,2.2,2.3,2.4,2.5,2.6"</formula1>
      <formula2>0</formula2>
    </dataValidation>
  </dataValidations>
  <hyperlinks>
    <hyperlink ref="P4" r:id="rId1" display="https://www.cs.ox.ac.uk/publications/publication15799-abstract.html"/>
    <hyperlink ref="P5" r:id="rId2" display="https://digitalcollection.zhaw.ch/handle/11475/26900"/>
    <hyperlink ref="P6" r:id="rId3" display="https://web.stanford.edu/group/scpnt/gpslab/pubs/papers/Liu_ION_ITM_2022_ADSB.pdf"/>
    <hyperlink ref="P7" r:id="rId4" display="https://opensky-network.org"/>
    <hyperlink ref="P8" r:id="rId5" display="https://www.gov.uk/government/publications/the-strategic-defence-review-2025-making-britain-safer-secure-at-home-strong-abroad"/>
    <hyperlink ref="P18" r:id="rId6" display="https://www.w3.org/TR/prov-dm/"/>
    <hyperlink ref="P23" r:id="rId7" display="https://arxiv.org/abs/2009.13807v3"/>
    <hyperlink ref="P24" r:id="rId8" display="https://ojs.aaai.org/index.php/AAAI/article/view/20680"/>
    <hyperlink ref="P39" r:id="rId9" display="https://arxiv.org/abs/2308.02828"/>
    <hyperlink ref="P40" r:id="rId10" display="https://www.gov.uk/government/publications/jsp-936-dependable-artificial-intelligence-ai-in-defence-part-1-directiv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16"/>
    <col collapsed="false" customWidth="true" hidden="false" outlineLevel="0" max="5" min="5" style="0" width="12"/>
    <col collapsed="false" customWidth="true" hidden="false" outlineLevel="0" max="6" min="6" style="0" width="70"/>
  </cols>
  <sheetData>
    <row r="1" customFormat="false" ht="23.85" hidden="false" customHeight="false" outlineLevel="0" collapsed="false">
      <c r="A1" s="5" t="s">
        <v>404</v>
      </c>
      <c r="B1" s="5" t="s">
        <v>405</v>
      </c>
      <c r="C1" s="5" t="s">
        <v>406</v>
      </c>
      <c r="D1" s="5" t="s">
        <v>407</v>
      </c>
      <c r="E1" s="5" t="s">
        <v>408</v>
      </c>
      <c r="F1" s="5" t="s">
        <v>409</v>
      </c>
    </row>
    <row r="2" customFormat="false" ht="35.05" hidden="false" customHeight="false" outlineLevel="0" collapsed="false">
      <c r="A2" s="7" t="s">
        <v>410</v>
      </c>
      <c r="B2" s="6" t="s">
        <v>411</v>
      </c>
      <c r="C2" s="6" t="s">
        <v>412</v>
      </c>
      <c r="D2" s="6" t="s">
        <v>413</v>
      </c>
      <c r="E2" s="6" t="s">
        <v>30</v>
      </c>
      <c r="F2" s="7" t="s">
        <v>414</v>
      </c>
    </row>
    <row r="3" customFormat="false" ht="23.85" hidden="false" customHeight="false" outlineLevel="0" collapsed="false">
      <c r="A3" s="7" t="s">
        <v>415</v>
      </c>
      <c r="B3" s="6" t="s">
        <v>416</v>
      </c>
      <c r="C3" s="6" t="s">
        <v>417</v>
      </c>
      <c r="D3" s="6" t="s">
        <v>413</v>
      </c>
      <c r="E3" s="6" t="s">
        <v>30</v>
      </c>
      <c r="F3" s="7" t="s">
        <v>418</v>
      </c>
    </row>
    <row r="4" customFormat="false" ht="35.05" hidden="false" customHeight="false" outlineLevel="0" collapsed="false">
      <c r="A4" s="7" t="s">
        <v>419</v>
      </c>
      <c r="B4" s="6" t="s">
        <v>420</v>
      </c>
      <c r="C4" s="6" t="s">
        <v>421</v>
      </c>
      <c r="D4" s="6" t="s">
        <v>422</v>
      </c>
      <c r="E4" s="6" t="s">
        <v>423</v>
      </c>
      <c r="F4" s="7" t="s">
        <v>424</v>
      </c>
    </row>
    <row r="5" customFormat="false" ht="23.85" hidden="false" customHeight="false" outlineLevel="0" collapsed="false">
      <c r="A5" s="7" t="s">
        <v>425</v>
      </c>
      <c r="B5" s="6" t="s">
        <v>426</v>
      </c>
      <c r="C5" s="6" t="s">
        <v>427</v>
      </c>
      <c r="D5" s="6" t="s">
        <v>428</v>
      </c>
      <c r="E5" s="6" t="s">
        <v>429</v>
      </c>
      <c r="F5" s="7" t="s">
        <v>430</v>
      </c>
    </row>
    <row r="6" customFormat="false" ht="23.85" hidden="false" customHeight="false" outlineLevel="0" collapsed="false">
      <c r="A6" s="7" t="s">
        <v>431</v>
      </c>
      <c r="B6" s="6" t="s">
        <v>420</v>
      </c>
      <c r="C6" s="6" t="s">
        <v>432</v>
      </c>
      <c r="D6" s="6" t="s">
        <v>413</v>
      </c>
      <c r="E6" s="6" t="s">
        <v>25</v>
      </c>
      <c r="F6" s="7" t="s">
        <v>433</v>
      </c>
    </row>
    <row r="7" customFormat="false" ht="23.85" hidden="false" customHeight="false" outlineLevel="0" collapsed="false">
      <c r="A7" s="7" t="s">
        <v>434</v>
      </c>
      <c r="B7" s="6" t="s">
        <v>420</v>
      </c>
      <c r="C7" s="6" t="s">
        <v>435</v>
      </c>
      <c r="D7" s="6" t="s">
        <v>413</v>
      </c>
      <c r="E7" s="6" t="s">
        <v>25</v>
      </c>
      <c r="F7" s="7" t="s">
        <v>436</v>
      </c>
    </row>
    <row r="8" customFormat="false" ht="23.85" hidden="false" customHeight="false" outlineLevel="0" collapsed="false">
      <c r="A8" s="7" t="s">
        <v>437</v>
      </c>
      <c r="B8" s="6" t="s">
        <v>438</v>
      </c>
      <c r="C8" s="6" t="s">
        <v>213</v>
      </c>
      <c r="D8" s="6" t="s">
        <v>413</v>
      </c>
      <c r="E8" s="6" t="s">
        <v>25</v>
      </c>
      <c r="F8" s="7" t="s">
        <v>439</v>
      </c>
    </row>
    <row r="9" customFormat="false" ht="23.85" hidden="false" customHeight="false" outlineLevel="0" collapsed="false">
      <c r="A9" s="7" t="s">
        <v>440</v>
      </c>
      <c r="B9" s="6" t="s">
        <v>416</v>
      </c>
      <c r="C9" s="6" t="s">
        <v>441</v>
      </c>
      <c r="D9" s="6" t="s">
        <v>413</v>
      </c>
      <c r="E9" s="6" t="s">
        <v>35</v>
      </c>
      <c r="F9" s="7" t="s">
        <v>442</v>
      </c>
    </row>
    <row r="10" customFormat="false" ht="23.85" hidden="false" customHeight="false" outlineLevel="0" collapsed="false">
      <c r="A10" s="7" t="s">
        <v>443</v>
      </c>
      <c r="B10" s="6" t="s">
        <v>416</v>
      </c>
      <c r="C10" s="6" t="s">
        <v>444</v>
      </c>
      <c r="D10" s="6" t="s">
        <v>413</v>
      </c>
      <c r="E10" s="6" t="s">
        <v>35</v>
      </c>
      <c r="F10" s="7" t="s">
        <v>445</v>
      </c>
    </row>
    <row r="11" customFormat="false" ht="23.85" hidden="false" customHeight="false" outlineLevel="0" collapsed="false">
      <c r="A11" s="7" t="s">
        <v>446</v>
      </c>
      <c r="B11" s="6" t="s">
        <v>416</v>
      </c>
      <c r="C11" s="6" t="s">
        <v>447</v>
      </c>
      <c r="D11" s="6" t="s">
        <v>448</v>
      </c>
      <c r="E11" s="6" t="s">
        <v>35</v>
      </c>
      <c r="F11" s="7" t="s">
        <v>449</v>
      </c>
    </row>
    <row r="12" customFormat="false" ht="23.85" hidden="false" customHeight="false" outlineLevel="0" collapsed="false">
      <c r="A12" s="7" t="s">
        <v>450</v>
      </c>
      <c r="B12" s="6" t="s">
        <v>426</v>
      </c>
      <c r="C12" s="6" t="s">
        <v>451</v>
      </c>
      <c r="D12" s="6" t="s">
        <v>422</v>
      </c>
      <c r="E12" s="6" t="s">
        <v>35</v>
      </c>
      <c r="F12" s="7" t="s">
        <v>452</v>
      </c>
    </row>
    <row r="13" customFormat="false" ht="23.85" hidden="false" customHeight="false" outlineLevel="0" collapsed="false">
      <c r="A13" s="7" t="s">
        <v>453</v>
      </c>
      <c r="B13" s="6" t="s">
        <v>420</v>
      </c>
      <c r="C13" s="6" t="s">
        <v>454</v>
      </c>
      <c r="D13" s="6" t="s">
        <v>413</v>
      </c>
      <c r="E13" s="6" t="s">
        <v>35</v>
      </c>
      <c r="F13" s="7" t="s">
        <v>455</v>
      </c>
    </row>
    <row r="14" customFormat="false" ht="23.85" hidden="false" customHeight="false" outlineLevel="0" collapsed="false">
      <c r="A14" s="7" t="s">
        <v>456</v>
      </c>
      <c r="B14" s="6" t="s">
        <v>411</v>
      </c>
      <c r="C14" s="6" t="s">
        <v>352</v>
      </c>
      <c r="D14" s="6" t="s">
        <v>413</v>
      </c>
      <c r="E14" s="6" t="s">
        <v>457</v>
      </c>
      <c r="F14" s="7" t="s">
        <v>458</v>
      </c>
    </row>
    <row r="15" customFormat="false" ht="23.85" hidden="false" customHeight="false" outlineLevel="0" collapsed="false">
      <c r="A15" s="7" t="s">
        <v>459</v>
      </c>
      <c r="B15" s="6" t="s">
        <v>411</v>
      </c>
      <c r="C15" s="6" t="s">
        <v>460</v>
      </c>
      <c r="D15" s="6" t="s">
        <v>428</v>
      </c>
      <c r="E15" s="6" t="s">
        <v>461</v>
      </c>
      <c r="F15" s="7" t="s">
        <v>462</v>
      </c>
    </row>
    <row r="16" customFormat="false" ht="23.85" hidden="false" customHeight="false" outlineLevel="0" collapsed="false">
      <c r="A16" s="7" t="s">
        <v>463</v>
      </c>
      <c r="B16" s="6" t="s">
        <v>426</v>
      </c>
      <c r="C16" s="6" t="s">
        <v>250</v>
      </c>
      <c r="D16" s="6" t="s">
        <v>413</v>
      </c>
      <c r="E16" s="6" t="s">
        <v>464</v>
      </c>
      <c r="F16" s="7" t="s">
        <v>465</v>
      </c>
    </row>
    <row r="17" customFormat="false" ht="23.85" hidden="false" customHeight="false" outlineLevel="0" collapsed="false">
      <c r="A17" s="7" t="s">
        <v>466</v>
      </c>
      <c r="B17" s="6" t="s">
        <v>420</v>
      </c>
      <c r="C17" s="6" t="s">
        <v>467</v>
      </c>
      <c r="D17" s="6" t="s">
        <v>413</v>
      </c>
      <c r="E17" s="6" t="s">
        <v>40</v>
      </c>
      <c r="F17" s="7" t="s">
        <v>468</v>
      </c>
    </row>
    <row r="18" customFormat="false" ht="23.85" hidden="false" customHeight="false" outlineLevel="0" collapsed="false">
      <c r="A18" s="7" t="s">
        <v>469</v>
      </c>
      <c r="B18" s="6" t="s">
        <v>416</v>
      </c>
      <c r="C18" s="6" t="s">
        <v>470</v>
      </c>
      <c r="D18" s="6" t="s">
        <v>471</v>
      </c>
      <c r="E18" s="6" t="s">
        <v>472</v>
      </c>
      <c r="F18" s="7" t="s">
        <v>473</v>
      </c>
    </row>
    <row r="19" customFormat="false" ht="35.05" hidden="false" customHeight="false" outlineLevel="0" collapsed="false">
      <c r="A19" s="7" t="s">
        <v>474</v>
      </c>
      <c r="B19" s="6" t="s">
        <v>416</v>
      </c>
      <c r="C19" s="6" t="s">
        <v>475</v>
      </c>
      <c r="D19" s="6" t="s">
        <v>476</v>
      </c>
      <c r="E19" s="6" t="s">
        <v>477</v>
      </c>
      <c r="F19" s="7" t="s">
        <v>478</v>
      </c>
    </row>
  </sheetData>
  <autoFilter ref="A1:F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55"/>
    <col collapsed="false" customWidth="true" hidden="false" outlineLevel="0" max="3" min="3" style="0" width="14"/>
    <col collapsed="false" customWidth="true" hidden="false" outlineLevel="0" max="4" min="4" style="0" width="11"/>
  </cols>
  <sheetData>
    <row r="1" customFormat="false" ht="15" hidden="false" customHeight="false" outlineLevel="0" collapsed="false">
      <c r="A1" s="5" t="s">
        <v>55</v>
      </c>
      <c r="B1" s="5" t="s">
        <v>479</v>
      </c>
      <c r="C1" s="5" t="s">
        <v>58</v>
      </c>
      <c r="D1" s="5" t="s">
        <v>65</v>
      </c>
    </row>
    <row r="2" customFormat="false" ht="23.85" hidden="false" customHeight="false" outlineLevel="0" collapsed="false">
      <c r="A2" s="7" t="s">
        <v>480</v>
      </c>
      <c r="B2" s="7" t="s">
        <v>481</v>
      </c>
      <c r="C2" s="16" t="s">
        <v>73</v>
      </c>
      <c r="D2" s="17" t="s">
        <v>79</v>
      </c>
    </row>
    <row r="3" customFormat="false" ht="35.05" hidden="false" customHeight="false" outlineLevel="0" collapsed="false">
      <c r="A3" s="7" t="s">
        <v>482</v>
      </c>
      <c r="B3" s="7" t="s">
        <v>483</v>
      </c>
      <c r="C3" s="16" t="s">
        <v>73</v>
      </c>
      <c r="D3" s="17" t="s">
        <v>79</v>
      </c>
    </row>
    <row r="4" customFormat="false" ht="23.85" hidden="false" customHeight="false" outlineLevel="0" collapsed="false">
      <c r="A4" s="7" t="s">
        <v>484</v>
      </c>
      <c r="B4" s="7" t="s">
        <v>485</v>
      </c>
      <c r="C4" s="16" t="s">
        <v>73</v>
      </c>
      <c r="D4" s="17" t="s">
        <v>79</v>
      </c>
    </row>
    <row r="5" customFormat="false" ht="23.85" hidden="false" customHeight="false" outlineLevel="0" collapsed="false">
      <c r="A5" s="7" t="s">
        <v>486</v>
      </c>
      <c r="B5" s="7" t="s">
        <v>487</v>
      </c>
      <c r="C5" s="16" t="s">
        <v>73</v>
      </c>
      <c r="D5" s="17" t="s">
        <v>79</v>
      </c>
    </row>
    <row r="6" customFormat="false" ht="23.85" hidden="false" customHeight="false" outlineLevel="0" collapsed="false">
      <c r="A6" s="7" t="s">
        <v>488</v>
      </c>
      <c r="B6" s="7" t="s">
        <v>489</v>
      </c>
      <c r="C6" s="16" t="s">
        <v>73</v>
      </c>
      <c r="D6" s="17" t="s">
        <v>79</v>
      </c>
    </row>
    <row r="7" customFormat="false" ht="23.85" hidden="false" customHeight="false" outlineLevel="0" collapsed="false">
      <c r="A7" s="7" t="s">
        <v>490</v>
      </c>
      <c r="B7" s="7" t="s">
        <v>491</v>
      </c>
      <c r="C7" s="16" t="s">
        <v>73</v>
      </c>
      <c r="D7" s="17" t="s">
        <v>79</v>
      </c>
    </row>
    <row r="8" customFormat="false" ht="23.85" hidden="false" customHeight="false" outlineLevel="0" collapsed="false">
      <c r="A8" s="7" t="s">
        <v>492</v>
      </c>
      <c r="B8" s="7" t="s">
        <v>493</v>
      </c>
      <c r="C8" s="16" t="s">
        <v>73</v>
      </c>
      <c r="D8" s="17" t="s">
        <v>79</v>
      </c>
    </row>
    <row r="9" customFormat="false" ht="35.05" hidden="false" customHeight="false" outlineLevel="0" collapsed="false">
      <c r="A9" s="7" t="s">
        <v>494</v>
      </c>
      <c r="B9" s="7" t="s">
        <v>495</v>
      </c>
      <c r="C9" s="16" t="s">
        <v>73</v>
      </c>
      <c r="D9" s="17" t="s">
        <v>79</v>
      </c>
    </row>
  </sheetData>
  <dataValidations count="1">
    <dataValidation allowBlank="true" errorStyle="stop" operator="between" showDropDown="false" showErrorMessage="false" showInputMessage="false" sqref="D2:D28" type="list">
      <formula1>"To read,Reading,Read,Cited,Dropped"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52"/>
    <col collapsed="false" customWidth="true" hidden="false" outlineLevel="0" max="4" min="4" style="0" width="11"/>
    <col collapsed="false" customWidth="true" hidden="false" outlineLevel="0" max="5" min="5" style="0" width="12"/>
    <col collapsed="false" customWidth="true" hidden="false" outlineLevel="0" max="6" min="6" style="0" width="55"/>
  </cols>
  <sheetData>
    <row r="1" customFormat="false" ht="15" hidden="false" customHeight="false" outlineLevel="0" collapsed="false">
      <c r="A1" s="2" t="s">
        <v>496</v>
      </c>
    </row>
    <row r="2" customFormat="false" ht="15" hidden="false" customHeight="false" outlineLevel="0" collapsed="false">
      <c r="A2" s="5" t="s">
        <v>497</v>
      </c>
      <c r="B2" s="5" t="s">
        <v>498</v>
      </c>
      <c r="C2" s="5" t="s">
        <v>499</v>
      </c>
      <c r="D2" s="5" t="s">
        <v>500</v>
      </c>
      <c r="E2" s="5" t="s">
        <v>501</v>
      </c>
      <c r="F2" s="5" t="s">
        <v>502</v>
      </c>
    </row>
    <row r="3" customFormat="false" ht="23.85" hidden="false" customHeight="false" outlineLevel="0" collapsed="false">
      <c r="A3" s="18" t="s">
        <v>503</v>
      </c>
      <c r="B3" s="7" t="s">
        <v>504</v>
      </c>
      <c r="C3" s="7" t="s">
        <v>505</v>
      </c>
      <c r="D3" s="18" t="s">
        <v>506</v>
      </c>
      <c r="E3" s="18" t="s">
        <v>507</v>
      </c>
      <c r="F3" s="18" t="s">
        <v>508</v>
      </c>
    </row>
    <row r="4" customFormat="false" ht="15" hidden="false" customHeight="false" outlineLevel="0" collapsed="false">
      <c r="A4" s="18"/>
      <c r="B4" s="7" t="s">
        <v>509</v>
      </c>
      <c r="C4" s="7" t="s">
        <v>510</v>
      </c>
      <c r="D4" s="18"/>
      <c r="E4" s="18"/>
      <c r="F4" s="18"/>
    </row>
    <row r="5" customFormat="false" ht="23.85" hidden="false" customHeight="false" outlineLevel="0" collapsed="false">
      <c r="A5" s="18"/>
      <c r="B5" s="7" t="s">
        <v>511</v>
      </c>
      <c r="C5" s="7" t="s">
        <v>512</v>
      </c>
      <c r="D5" s="18"/>
      <c r="E5" s="18"/>
      <c r="F5" s="18"/>
    </row>
    <row r="6" customFormat="false" ht="23.85" hidden="false" customHeight="false" outlineLevel="0" collapsed="false">
      <c r="A6" s="18"/>
      <c r="B6" s="7" t="s">
        <v>513</v>
      </c>
      <c r="C6" s="7" t="s">
        <v>514</v>
      </c>
      <c r="D6" s="18"/>
      <c r="E6" s="18"/>
      <c r="F6" s="18"/>
    </row>
    <row r="7" customFormat="false" ht="15" hidden="false" customHeight="false" outlineLevel="0" collapsed="false">
      <c r="A7" s="18"/>
      <c r="B7" s="7" t="s">
        <v>504</v>
      </c>
      <c r="C7" s="7" t="s">
        <v>515</v>
      </c>
      <c r="D7" s="18"/>
      <c r="E7" s="18"/>
      <c r="F7" s="18"/>
    </row>
    <row r="8" customFormat="false" ht="23.85" hidden="false" customHeight="false" outlineLevel="0" collapsed="false">
      <c r="A8" s="18"/>
      <c r="B8" s="7" t="s">
        <v>504</v>
      </c>
      <c r="C8" s="7" t="s">
        <v>516</v>
      </c>
      <c r="D8" s="18"/>
      <c r="E8" s="18"/>
      <c r="F8" s="18"/>
    </row>
    <row r="9" customFormat="false" ht="15" hidden="false" customHeight="false" outlineLevel="0" collapsed="false">
      <c r="A9" s="21"/>
      <c r="B9" s="22"/>
      <c r="C9" s="22"/>
      <c r="D9" s="21"/>
      <c r="E9" s="21"/>
      <c r="F9" s="21"/>
    </row>
    <row r="10" customFormat="false" ht="15" hidden="false" customHeight="false" outlineLevel="0" collapsed="false">
      <c r="A10" s="21"/>
      <c r="B10" s="22"/>
      <c r="C10" s="22"/>
      <c r="D10" s="21"/>
      <c r="E10" s="21"/>
      <c r="F10" s="21"/>
    </row>
    <row r="11" customFormat="false" ht="15" hidden="false" customHeight="false" outlineLevel="0" collapsed="false">
      <c r="A11" s="21"/>
      <c r="B11" s="22"/>
      <c r="C11" s="22"/>
      <c r="D11" s="21"/>
      <c r="E11" s="21"/>
      <c r="F11" s="21"/>
    </row>
    <row r="12" customFormat="false" ht="15" hidden="false" customHeight="false" outlineLevel="0" collapsed="false">
      <c r="A12" s="21"/>
      <c r="B12" s="22"/>
      <c r="C12" s="22"/>
      <c r="D12" s="21"/>
      <c r="E12" s="21"/>
      <c r="F12" s="21"/>
    </row>
    <row r="13" customFormat="false" ht="15" hidden="false" customHeight="false" outlineLevel="0" collapsed="false">
      <c r="A13" s="21"/>
      <c r="B13" s="22"/>
      <c r="C13" s="22"/>
      <c r="D13" s="21"/>
      <c r="E13" s="21"/>
      <c r="F13" s="21"/>
    </row>
    <row r="14" customFormat="false" ht="15" hidden="false" customHeight="false" outlineLevel="0" collapsed="false">
      <c r="A14" s="21"/>
      <c r="B14" s="22"/>
      <c r="C14" s="22"/>
      <c r="D14" s="21"/>
      <c r="E14" s="21"/>
      <c r="F14" s="21"/>
    </row>
    <row r="15" customFormat="false" ht="15" hidden="false" customHeight="false" outlineLevel="0" collapsed="false">
      <c r="A15" s="21"/>
      <c r="B15" s="22"/>
      <c r="C15" s="22"/>
      <c r="D15" s="21"/>
      <c r="E15" s="21"/>
      <c r="F15" s="21"/>
    </row>
    <row r="16" customFormat="false" ht="15" hidden="false" customHeight="false" outlineLevel="0" collapsed="false">
      <c r="A16" s="21"/>
      <c r="B16" s="22"/>
      <c r="C16" s="22"/>
      <c r="D16" s="21"/>
      <c r="E16" s="21"/>
      <c r="F16" s="21"/>
    </row>
    <row r="17" customFormat="false" ht="15" hidden="false" customHeight="false" outlineLevel="0" collapsed="false">
      <c r="A17" s="21"/>
      <c r="B17" s="22"/>
      <c r="C17" s="22"/>
      <c r="D17" s="21"/>
      <c r="E17" s="21"/>
      <c r="F17" s="21"/>
    </row>
    <row r="18" customFormat="false" ht="15" hidden="false" customHeight="false" outlineLevel="0" collapsed="false">
      <c r="A18" s="21"/>
      <c r="B18" s="22"/>
      <c r="C18" s="22"/>
      <c r="D18" s="21"/>
      <c r="E18" s="21"/>
      <c r="F18"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2026-10-11T12:44:48Z</dcterms:created>
  <dc:creator>openpyxl</dc:creator>
  <dc:description/>
  <dc:language>en-US</dc:language>
  <cp:lastModifiedBy/>
  <dcterms:modified xsi:type="dcterms:W3CDTF">2026-10-11T12:44:48Z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